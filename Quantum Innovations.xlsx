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llua\"/>
    </mc:Choice>
  </mc:AlternateContent>
  <xr:revisionPtr revIDLastSave="0" documentId="8_{DDA7AC08-DACF-43BD-947F-F307AD48C574}" xr6:coauthVersionLast="47" xr6:coauthVersionMax="47" xr10:uidLastSave="{00000000-0000-0000-0000-000000000000}"/>
  <bookViews>
    <workbookView xWindow="-108" yWindow="-108" windowWidth="30936" windowHeight="16776" tabRatio="801" activeTab="6" xr2:uid="{A9ADBE2E-E066-46F9-815D-82D5396BE0BE}"/>
  </bookViews>
  <sheets>
    <sheet name="Input" sheetId="2" r:id="rId1"/>
    <sheet name="Revenue" sheetId="3" r:id="rId2"/>
    <sheet name="P&amp;L" sheetId="4" r:id="rId3"/>
    <sheet name="Fixed Assets" sheetId="6" r:id="rId4"/>
    <sheet name="Debt Schedule" sheetId="5" r:id="rId5"/>
    <sheet name="Working Capital" sheetId="10" r:id="rId6"/>
    <sheet name="Balance Sheet" sheetId="7" r:id="rId7"/>
    <sheet name="Cashflow Statement" sheetId="8" r:id="rId8"/>
    <sheet name="Analysis" sheetId="9" r:id="rId9"/>
    <sheet name="Explanation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9" l="1"/>
  <c r="D10" i="9"/>
  <c r="D9" i="9"/>
  <c r="D6" i="9"/>
  <c r="D5" i="9"/>
  <c r="D30" i="7" l="1"/>
  <c r="D10" i="8"/>
  <c r="E13" i="8"/>
  <c r="D11" i="8"/>
  <c r="H4" i="6"/>
  <c r="G4" i="6"/>
  <c r="F4" i="6"/>
  <c r="E4" i="6"/>
  <c r="E13" i="6"/>
  <c r="D28" i="3"/>
  <c r="D18" i="3"/>
  <c r="D28" i="8"/>
  <c r="D23" i="8"/>
  <c r="D20" i="8"/>
  <c r="D13" i="8"/>
  <c r="D30" i="8" s="1"/>
  <c r="D8" i="8"/>
  <c r="D17" i="7"/>
  <c r="D7" i="7"/>
  <c r="E18" i="4"/>
  <c r="D18" i="4"/>
  <c r="D17" i="4"/>
  <c r="D15" i="4"/>
  <c r="D14" i="4"/>
  <c r="D8" i="5"/>
  <c r="D9" i="5"/>
  <c r="D10" i="6"/>
  <c r="D9" i="6"/>
  <c r="E8" i="6"/>
  <c r="E9" i="6" s="1"/>
  <c r="E10" i="6"/>
  <c r="D8" i="6"/>
  <c r="D9" i="8"/>
  <c r="D5" i="10"/>
  <c r="D4" i="10"/>
  <c r="D28" i="7" s="1"/>
  <c r="D8" i="10"/>
  <c r="D5" i="5"/>
  <c r="E5" i="5"/>
  <c r="E25" i="8" s="1"/>
  <c r="E12" i="9" s="1"/>
  <c r="D3" i="5"/>
  <c r="D4" i="5"/>
  <c r="D7" i="6"/>
  <c r="D5" i="6"/>
  <c r="D4" i="6"/>
  <c r="E7" i="6"/>
  <c r="D10" i="4"/>
  <c r="D7" i="4"/>
  <c r="D9" i="4"/>
  <c r="D5" i="4"/>
  <c r="D26" i="3"/>
  <c r="D27" i="3"/>
  <c r="D25" i="3"/>
  <c r="E25" i="3"/>
  <c r="D22" i="3"/>
  <c r="D15" i="3"/>
  <c r="D14" i="3"/>
  <c r="D2" i="3"/>
  <c r="E2" i="3" s="1"/>
  <c r="F2" i="3" s="1"/>
  <c r="G2" i="3" s="1"/>
  <c r="H2" i="3" s="1"/>
  <c r="D1" i="3"/>
  <c r="F12" i="9"/>
  <c r="G12" i="9"/>
  <c r="H12" i="9"/>
  <c r="D7" i="9"/>
  <c r="E7" i="9"/>
  <c r="F7" i="9"/>
  <c r="G7" i="9"/>
  <c r="H7" i="9"/>
  <c r="E6" i="7"/>
  <c r="D6" i="7"/>
  <c r="E23" i="8"/>
  <c r="E15" i="7"/>
  <c r="F6" i="7"/>
  <c r="F23" i="8"/>
  <c r="F15" i="7"/>
  <c r="F12" i="8"/>
  <c r="G6" i="7"/>
  <c r="G23" i="8"/>
  <c r="G15" i="7"/>
  <c r="G12" i="8"/>
  <c r="H6" i="7"/>
  <c r="H23" i="8"/>
  <c r="H15" i="7"/>
  <c r="H12" i="8"/>
  <c r="D31" i="8"/>
  <c r="E24" i="8"/>
  <c r="E17" i="8"/>
  <c r="E18" i="8"/>
  <c r="E19" i="8"/>
  <c r="E20" i="8"/>
  <c r="D24" i="8"/>
  <c r="D25" i="8"/>
  <c r="D17" i="8"/>
  <c r="D18" i="8"/>
  <c r="D19" i="8"/>
  <c r="F24" i="8"/>
  <c r="F25" i="8"/>
  <c r="F17" i="8"/>
  <c r="F18" i="8"/>
  <c r="F19" i="8"/>
  <c r="F20" i="8"/>
  <c r="G24" i="8"/>
  <c r="G25" i="8"/>
  <c r="G17" i="8"/>
  <c r="G18" i="8"/>
  <c r="G19" i="8"/>
  <c r="G20" i="8"/>
  <c r="H24" i="8"/>
  <c r="H25" i="8"/>
  <c r="H17" i="8"/>
  <c r="H18" i="8"/>
  <c r="H19" i="8"/>
  <c r="H20" i="8"/>
  <c r="D24" i="7"/>
  <c r="D25" i="7"/>
  <c r="D11" i="7"/>
  <c r="D10" i="10"/>
  <c r="D15" i="7" s="1"/>
  <c r="E10" i="10"/>
  <c r="F10" i="10"/>
  <c r="G10" i="10"/>
  <c r="H10" i="10"/>
  <c r="E11" i="10"/>
  <c r="F11" i="10"/>
  <c r="G11" i="10"/>
  <c r="H11" i="10"/>
  <c r="D11" i="10"/>
  <c r="E9" i="10"/>
  <c r="F9" i="10"/>
  <c r="G9" i="10"/>
  <c r="H9" i="10"/>
  <c r="D9" i="10"/>
  <c r="E5" i="10"/>
  <c r="E4" i="10" s="1"/>
  <c r="E28" i="7" s="1"/>
  <c r="D2" i="10"/>
  <c r="E2" i="10"/>
  <c r="F2" i="10"/>
  <c r="G2" i="10"/>
  <c r="H2" i="10"/>
  <c r="D1" i="10"/>
  <c r="E1" i="10"/>
  <c r="F1" i="10"/>
  <c r="G1" i="10"/>
  <c r="H1" i="10"/>
  <c r="D11" i="4"/>
  <c r="F5" i="6"/>
  <c r="D13" i="6"/>
  <c r="D14" i="6"/>
  <c r="D16" i="6"/>
  <c r="E16" i="6"/>
  <c r="D17" i="6"/>
  <c r="E17" i="6"/>
  <c r="E18" i="6"/>
  <c r="E24" i="7"/>
  <c r="D22" i="6"/>
  <c r="D23" i="6"/>
  <c r="D25" i="6"/>
  <c r="E22" i="6"/>
  <c r="E25" i="6"/>
  <c r="D26" i="6"/>
  <c r="E26" i="6"/>
  <c r="E27" i="6"/>
  <c r="E25" i="7"/>
  <c r="D1" i="5"/>
  <c r="D6" i="5"/>
  <c r="E1" i="5"/>
  <c r="D17" i="3"/>
  <c r="E17" i="3"/>
  <c r="D4" i="3"/>
  <c r="D5" i="3"/>
  <c r="D6" i="3"/>
  <c r="D12" i="3"/>
  <c r="D13" i="3"/>
  <c r="D8" i="3"/>
  <c r="E11" i="3"/>
  <c r="E4" i="3"/>
  <c r="E5" i="3"/>
  <c r="E6" i="3"/>
  <c r="E12" i="3"/>
  <c r="E13" i="3"/>
  <c r="E8" i="3"/>
  <c r="E14" i="3"/>
  <c r="E18" i="3"/>
  <c r="E3" i="4"/>
  <c r="D23" i="3"/>
  <c r="E23" i="3"/>
  <c r="E15" i="3"/>
  <c r="E7" i="4"/>
  <c r="D8" i="4"/>
  <c r="E8" i="4"/>
  <c r="E9" i="4"/>
  <c r="E19" i="6"/>
  <c r="E28" i="6"/>
  <c r="D3" i="4"/>
  <c r="D19" i="6"/>
  <c r="D28" i="6"/>
  <c r="F13" i="6"/>
  <c r="F16" i="6"/>
  <c r="F17" i="6"/>
  <c r="F18" i="6"/>
  <c r="F24" i="7"/>
  <c r="F22" i="6"/>
  <c r="F25" i="6"/>
  <c r="F26" i="6"/>
  <c r="F27" i="6"/>
  <c r="F25" i="7"/>
  <c r="F1" i="5"/>
  <c r="F5" i="5"/>
  <c r="F17" i="3"/>
  <c r="F11" i="3"/>
  <c r="F4" i="3"/>
  <c r="F5" i="3"/>
  <c r="F6" i="3"/>
  <c r="F12" i="3"/>
  <c r="F13" i="3"/>
  <c r="F8" i="3"/>
  <c r="F14" i="3"/>
  <c r="F18" i="3"/>
  <c r="F3" i="4"/>
  <c r="F23" i="3"/>
  <c r="F15" i="3"/>
  <c r="F7" i="4"/>
  <c r="F8" i="4"/>
  <c r="F9" i="4"/>
  <c r="F19" i="6"/>
  <c r="F28" i="6"/>
  <c r="G13" i="6"/>
  <c r="G16" i="6"/>
  <c r="G17" i="6"/>
  <c r="G18" i="6"/>
  <c r="G24" i="7"/>
  <c r="G22" i="6"/>
  <c r="G25" i="6"/>
  <c r="G26" i="6"/>
  <c r="G27" i="6"/>
  <c r="G25" i="7"/>
  <c r="G1" i="5"/>
  <c r="G5" i="5"/>
  <c r="G17" i="3"/>
  <c r="G11" i="3"/>
  <c r="G4" i="3"/>
  <c r="G5" i="3"/>
  <c r="G6" i="3"/>
  <c r="G12" i="3"/>
  <c r="G13" i="3"/>
  <c r="G8" i="3"/>
  <c r="G14" i="3"/>
  <c r="G18" i="3"/>
  <c r="G3" i="4"/>
  <c r="G23" i="3"/>
  <c r="G15" i="3"/>
  <c r="G7" i="4"/>
  <c r="G8" i="4"/>
  <c r="G9" i="4"/>
  <c r="G19" i="6"/>
  <c r="G28" i="6"/>
  <c r="H13" i="6"/>
  <c r="H16" i="6"/>
  <c r="H17" i="6"/>
  <c r="H18" i="6"/>
  <c r="H24" i="7"/>
  <c r="H22" i="6"/>
  <c r="H25" i="6"/>
  <c r="H26" i="6"/>
  <c r="H27" i="6"/>
  <c r="H25" i="7"/>
  <c r="H1" i="5"/>
  <c r="H5" i="5"/>
  <c r="H17" i="3"/>
  <c r="H11" i="3"/>
  <c r="H4" i="3"/>
  <c r="H5" i="3"/>
  <c r="H6" i="3"/>
  <c r="H12" i="3"/>
  <c r="H13" i="3"/>
  <c r="H8" i="3"/>
  <c r="H14" i="3"/>
  <c r="H18" i="3"/>
  <c r="H3" i="4"/>
  <c r="H23" i="3"/>
  <c r="H15" i="3"/>
  <c r="H7" i="4"/>
  <c r="H8" i="4"/>
  <c r="H9" i="4"/>
  <c r="H19" i="6"/>
  <c r="H28" i="6"/>
  <c r="D18" i="6"/>
  <c r="D27" i="6"/>
  <c r="A3" i="4"/>
  <c r="B3" i="4"/>
  <c r="C3" i="4"/>
  <c r="C4" i="4"/>
  <c r="D2" i="4"/>
  <c r="E2" i="4"/>
  <c r="F2" i="4"/>
  <c r="G2" i="4"/>
  <c r="H2" i="4"/>
  <c r="D2" i="5"/>
  <c r="E2" i="5"/>
  <c r="F2" i="5"/>
  <c r="G2" i="5"/>
  <c r="H2" i="5"/>
  <c r="D2" i="6"/>
  <c r="E2" i="6"/>
  <c r="F2" i="6"/>
  <c r="G2" i="6"/>
  <c r="H2" i="6"/>
  <c r="D2" i="7"/>
  <c r="E2" i="7"/>
  <c r="F2" i="7"/>
  <c r="G2" i="7"/>
  <c r="H2" i="7"/>
  <c r="D2" i="8"/>
  <c r="E2" i="8"/>
  <c r="F2" i="8"/>
  <c r="G2" i="8"/>
  <c r="H2" i="8"/>
  <c r="D2" i="9"/>
  <c r="E2" i="9"/>
  <c r="F2" i="9"/>
  <c r="G2" i="9"/>
  <c r="H2" i="9"/>
  <c r="D1" i="4"/>
  <c r="E1" i="4"/>
  <c r="D1" i="6"/>
  <c r="E1" i="6"/>
  <c r="D1" i="7"/>
  <c r="E1" i="7"/>
  <c r="D1" i="8"/>
  <c r="E1" i="8"/>
  <c r="D1" i="9"/>
  <c r="E1" i="9"/>
  <c r="F1" i="9"/>
  <c r="G1" i="9"/>
  <c r="H1" i="9"/>
  <c r="E1" i="3"/>
  <c r="F1" i="3"/>
  <c r="G1" i="3"/>
  <c r="H1" i="3"/>
  <c r="F1" i="4"/>
  <c r="G1" i="4"/>
  <c r="H1" i="4"/>
  <c r="F1" i="6"/>
  <c r="G1" i="6"/>
  <c r="H1" i="6"/>
  <c r="F1" i="7"/>
  <c r="G1" i="7"/>
  <c r="H1" i="7"/>
  <c r="F1" i="8"/>
  <c r="G1" i="8"/>
  <c r="H1" i="8"/>
  <c r="B33" i="2"/>
  <c r="F5" i="10" l="1"/>
  <c r="E9" i="8"/>
  <c r="D12" i="9"/>
  <c r="E3" i="5"/>
  <c r="E6" i="5" s="1"/>
  <c r="F3" i="5"/>
  <c r="F6" i="5" s="1"/>
  <c r="E9" i="5"/>
  <c r="F7" i="6"/>
  <c r="E11" i="4"/>
  <c r="E6" i="8" s="1"/>
  <c r="E8" i="9" s="1"/>
  <c r="D6" i="8"/>
  <c r="D8" i="9" s="1"/>
  <c r="D12" i="4"/>
  <c r="D23" i="7"/>
  <c r="E12" i="8"/>
  <c r="D12" i="8"/>
  <c r="D14" i="7"/>
  <c r="E22" i="3"/>
  <c r="E23" i="7" l="1"/>
  <c r="F4" i="10"/>
  <c r="F28" i="7" s="1"/>
  <c r="F9" i="8" s="1"/>
  <c r="G5" i="10"/>
  <c r="E8" i="5"/>
  <c r="E11" i="7"/>
  <c r="F11" i="7"/>
  <c r="G3" i="5"/>
  <c r="G6" i="5" s="1"/>
  <c r="F8" i="5"/>
  <c r="F9" i="5"/>
  <c r="G7" i="6"/>
  <c r="F8" i="6"/>
  <c r="F10" i="6" s="1"/>
  <c r="F11" i="4" s="1"/>
  <c r="F6" i="8" s="1"/>
  <c r="F8" i="9" s="1"/>
  <c r="E8" i="10"/>
  <c r="E14" i="7" s="1"/>
  <c r="E26" i="3"/>
  <c r="E27" i="3"/>
  <c r="F22" i="3"/>
  <c r="D29" i="7"/>
  <c r="E28" i="3"/>
  <c r="E4" i="4" s="1"/>
  <c r="E5" i="4" s="1"/>
  <c r="E10" i="4" s="1"/>
  <c r="E12" i="4" s="1"/>
  <c r="D4" i="4"/>
  <c r="G4" i="10" l="1"/>
  <c r="G28" i="7" s="1"/>
  <c r="G9" i="8" s="1"/>
  <c r="H5" i="10"/>
  <c r="H4" i="10" s="1"/>
  <c r="H28" i="7" s="1"/>
  <c r="H9" i="8" s="1"/>
  <c r="H3" i="5"/>
  <c r="H6" i="5" s="1"/>
  <c r="G8" i="5"/>
  <c r="G9" i="5"/>
  <c r="G11" i="7"/>
  <c r="G8" i="6"/>
  <c r="G10" i="6" s="1"/>
  <c r="G11" i="4" s="1"/>
  <c r="G6" i="8" s="1"/>
  <c r="G8" i="9" s="1"/>
  <c r="H7" i="6"/>
  <c r="F9" i="6"/>
  <c r="F23" i="7" s="1"/>
  <c r="F27" i="3"/>
  <c r="G22" i="3"/>
  <c r="F8" i="10"/>
  <c r="F14" i="7" s="1"/>
  <c r="F26" i="3"/>
  <c r="E11" i="5"/>
  <c r="E13" i="4" s="1"/>
  <c r="E14" i="4" s="1"/>
  <c r="E4" i="9"/>
  <c r="D11" i="5"/>
  <c r="D13" i="4" s="1"/>
  <c r="D4" i="9"/>
  <c r="E29" i="7"/>
  <c r="F25" i="3"/>
  <c r="E11" i="8"/>
  <c r="E17" i="7"/>
  <c r="G9" i="6" l="1"/>
  <c r="G23" i="7" s="1"/>
  <c r="H8" i="5"/>
  <c r="H11" i="7"/>
  <c r="H9" i="5"/>
  <c r="H8" i="6"/>
  <c r="H10" i="6" s="1"/>
  <c r="H11" i="4" s="1"/>
  <c r="H6" i="8" s="1"/>
  <c r="H8" i="9" s="1"/>
  <c r="E15" i="4"/>
  <c r="E16" i="4" s="1"/>
  <c r="D11" i="9"/>
  <c r="D7" i="8"/>
  <c r="D26" i="8"/>
  <c r="E5" i="9"/>
  <c r="E6" i="9" s="1"/>
  <c r="H22" i="3"/>
  <c r="G8" i="10"/>
  <c r="G14" i="7" s="1"/>
  <c r="G26" i="3"/>
  <c r="G27" i="3"/>
  <c r="E11" i="9"/>
  <c r="E7" i="8"/>
  <c r="E8" i="8" s="1"/>
  <c r="E26" i="8"/>
  <c r="F11" i="8"/>
  <c r="F17" i="7"/>
  <c r="F28" i="3"/>
  <c r="F4" i="4" s="1"/>
  <c r="F5" i="4" s="1"/>
  <c r="F10" i="4" s="1"/>
  <c r="F12" i="4" s="1"/>
  <c r="E10" i="8"/>
  <c r="E9" i="9" s="1"/>
  <c r="G25" i="3"/>
  <c r="F29" i="7"/>
  <c r="H9" i="6" l="1"/>
  <c r="H23" i="7" s="1"/>
  <c r="E10" i="9"/>
  <c r="E13" i="9" s="1"/>
  <c r="G28" i="3"/>
  <c r="G4" i="4" s="1"/>
  <c r="G5" i="4" s="1"/>
  <c r="G10" i="4" s="1"/>
  <c r="G12" i="4" s="1"/>
  <c r="H27" i="3"/>
  <c r="H29" i="7" s="1"/>
  <c r="H26" i="3"/>
  <c r="H8" i="10"/>
  <c r="H14" i="7" s="1"/>
  <c r="G11" i="5"/>
  <c r="G13" i="4" s="1"/>
  <c r="G14" i="4" s="1"/>
  <c r="G4" i="9"/>
  <c r="D16" i="4"/>
  <c r="H25" i="3"/>
  <c r="H28" i="3" s="1"/>
  <c r="H4" i="4" s="1"/>
  <c r="H5" i="4" s="1"/>
  <c r="H10" i="4" s="1"/>
  <c r="H12" i="4" s="1"/>
  <c r="G29" i="7"/>
  <c r="F11" i="5"/>
  <c r="F13" i="4" s="1"/>
  <c r="F14" i="4" s="1"/>
  <c r="F4" i="9"/>
  <c r="F10" i="8"/>
  <c r="F9" i="9" s="1"/>
  <c r="G17" i="7"/>
  <c r="G11" i="8"/>
  <c r="E17" i="4"/>
  <c r="E27" i="8" s="1"/>
  <c r="E28" i="8" s="1"/>
  <c r="E30" i="8" l="1"/>
  <c r="G15" i="4"/>
  <c r="G16" i="4" s="1"/>
  <c r="F15" i="4"/>
  <c r="F16" i="4" s="1"/>
  <c r="D27" i="8"/>
  <c r="D32" i="8" s="1"/>
  <c r="E19" i="4"/>
  <c r="G5" i="9"/>
  <c r="G6" i="9" s="1"/>
  <c r="F5" i="9"/>
  <c r="F6" i="9" s="1"/>
  <c r="F10" i="9" s="1"/>
  <c r="G7" i="8"/>
  <c r="G8" i="8" s="1"/>
  <c r="G26" i="8"/>
  <c r="G11" i="9"/>
  <c r="F7" i="8"/>
  <c r="F8" i="8" s="1"/>
  <c r="F13" i="8" s="1"/>
  <c r="F11" i="9"/>
  <c r="F26" i="8"/>
  <c r="H17" i="7"/>
  <c r="H11" i="8"/>
  <c r="G10" i="8"/>
  <c r="G9" i="9" s="1"/>
  <c r="H4" i="9"/>
  <c r="H11" i="5"/>
  <c r="H13" i="4" s="1"/>
  <c r="H14" i="4" s="1"/>
  <c r="H10" i="8"/>
  <c r="F13" i="9" l="1"/>
  <c r="G17" i="4"/>
  <c r="G18" i="4" s="1"/>
  <c r="G27" i="8" s="1"/>
  <c r="H15" i="4"/>
  <c r="H16" i="4" s="1"/>
  <c r="D34" i="8"/>
  <c r="D5" i="7" s="1"/>
  <c r="G10" i="9"/>
  <c r="G13" i="9" s="1"/>
  <c r="H9" i="9"/>
  <c r="F17" i="4"/>
  <c r="F18" i="4" s="1"/>
  <c r="F27" i="8" s="1"/>
  <c r="F28" i="8" s="1"/>
  <c r="F30" i="8" s="1"/>
  <c r="D19" i="4"/>
  <c r="E7" i="7" s="1"/>
  <c r="G28" i="8"/>
  <c r="G13" i="8"/>
  <c r="H7" i="8"/>
  <c r="H8" i="8" s="1"/>
  <c r="H13" i="8" s="1"/>
  <c r="H11" i="9"/>
  <c r="H26" i="8"/>
  <c r="H5" i="9"/>
  <c r="H6" i="9" s="1"/>
  <c r="G30" i="8" l="1"/>
  <c r="H10" i="9"/>
  <c r="H13" i="9" s="1"/>
  <c r="F19" i="4"/>
  <c r="F7" i="7" s="1"/>
  <c r="D35" i="8"/>
  <c r="D8" i="7"/>
  <c r="D18" i="7" s="1"/>
  <c r="H17" i="4"/>
  <c r="H18" i="4" s="1"/>
  <c r="H27" i="8" s="1"/>
  <c r="H28" i="8" s="1"/>
  <c r="H30" i="8" s="1"/>
  <c r="G19" i="4"/>
  <c r="H19" i="4" l="1"/>
  <c r="G7" i="7"/>
  <c r="D32" i="7"/>
  <c r="D33" i="7" s="1"/>
  <c r="E31" i="8"/>
  <c r="E32" i="8" s="1"/>
  <c r="H7" i="7" l="1"/>
  <c r="E34" i="8"/>
  <c r="E5" i="7" s="1"/>
  <c r="E35" i="8" l="1"/>
  <c r="F31" i="8" s="1"/>
  <c r="F32" i="8" s="1"/>
  <c r="E8" i="7"/>
  <c r="E18" i="7" s="1"/>
  <c r="E30" i="7" l="1"/>
  <c r="E32" i="7" s="1"/>
  <c r="E33" i="7" s="1"/>
  <c r="F34" i="8"/>
  <c r="F5" i="7" s="1"/>
  <c r="F8" i="7" l="1"/>
  <c r="F18" i="7" s="1"/>
  <c r="F35" i="8"/>
  <c r="G31" i="8" l="1"/>
  <c r="G32" i="8" s="1"/>
  <c r="F30" i="7"/>
  <c r="F32" i="7" s="1"/>
  <c r="F33" i="7" s="1"/>
  <c r="G34" i="8" l="1"/>
  <c r="G5" i="7" s="1"/>
  <c r="G35" i="8" l="1"/>
  <c r="H31" i="8" s="1"/>
  <c r="H32" i="8" s="1"/>
  <c r="G8" i="7"/>
  <c r="G18" i="7" s="1"/>
  <c r="G30" i="7" l="1"/>
  <c r="G32" i="7" s="1"/>
  <c r="G33" i="7" s="1"/>
  <c r="H34" i="8"/>
  <c r="H5" i="7" s="1"/>
  <c r="H8" i="7" s="1"/>
  <c r="H18" i="7" s="1"/>
  <c r="H35" i="8" l="1"/>
  <c r="H30" i="7" s="1"/>
  <c r="H32" i="7" s="1"/>
  <c r="H33" i="7" s="1"/>
</calcChain>
</file>

<file path=xl/sharedStrings.xml><?xml version="1.0" encoding="utf-8"?>
<sst xmlns="http://schemas.openxmlformats.org/spreadsheetml/2006/main" count="331" uniqueCount="176">
  <si>
    <t>Sales</t>
  </si>
  <si>
    <t>GP</t>
  </si>
  <si>
    <t>Less: COGS (Direct cost)</t>
  </si>
  <si>
    <t>Less: Indirect cost</t>
  </si>
  <si>
    <t>SG&amp;A</t>
  </si>
  <si>
    <t>EBITDA</t>
  </si>
  <si>
    <t>Less: Dep. And Amortization</t>
  </si>
  <si>
    <t>EBIT (Operating Profit)</t>
  </si>
  <si>
    <t>Less: Int.</t>
  </si>
  <si>
    <t>EBT</t>
  </si>
  <si>
    <t>Less: Taxes</t>
  </si>
  <si>
    <t>EAT (Net Profit)</t>
  </si>
  <si>
    <t>Earning after tax</t>
  </si>
  <si>
    <t>Earning before tax</t>
  </si>
  <si>
    <t>Earning before interest and tax</t>
  </si>
  <si>
    <t>Earning before interest, tax, depriciation and amortization</t>
  </si>
  <si>
    <t>Accural Principal</t>
  </si>
  <si>
    <t>Matching principal</t>
  </si>
  <si>
    <t>Less: Dividend</t>
  </si>
  <si>
    <t>Transfer to reserve</t>
  </si>
  <si>
    <t>Name Of Company</t>
  </si>
  <si>
    <t>Quantum Innovation</t>
  </si>
  <si>
    <t>Start Date of Business</t>
  </si>
  <si>
    <t>Operational Details</t>
  </si>
  <si>
    <t>Annual Capacity</t>
  </si>
  <si>
    <t>Units</t>
  </si>
  <si>
    <t>Utilisation Rate</t>
  </si>
  <si>
    <t>Percent</t>
  </si>
  <si>
    <t>Annual Increase</t>
  </si>
  <si>
    <t>Units Sold (as % of available units)</t>
  </si>
  <si>
    <t>Selling price per unit</t>
  </si>
  <si>
    <t>Rs.</t>
  </si>
  <si>
    <t>Raw material per unit</t>
  </si>
  <si>
    <t>Labor per unit</t>
  </si>
  <si>
    <t>Annual growth rate</t>
  </si>
  <si>
    <t>percent</t>
  </si>
  <si>
    <t>Selling, General and admin expenses</t>
  </si>
  <si>
    <t>Commission on sales</t>
  </si>
  <si>
    <t>Capital Structure</t>
  </si>
  <si>
    <t>Equity</t>
  </si>
  <si>
    <t>Promoter 1</t>
  </si>
  <si>
    <t>Promoter 2</t>
  </si>
  <si>
    <t>Promoter 3</t>
  </si>
  <si>
    <t>Promoter 4</t>
  </si>
  <si>
    <t>Debt</t>
  </si>
  <si>
    <t>Total</t>
  </si>
  <si>
    <t>Authorised Capital</t>
  </si>
  <si>
    <t>Face Value per share</t>
  </si>
  <si>
    <t>Authorised number of shares</t>
  </si>
  <si>
    <t>NoS.</t>
  </si>
  <si>
    <t>Loan</t>
  </si>
  <si>
    <t>Default rate of Interest</t>
  </si>
  <si>
    <t>Penal rate of interest</t>
  </si>
  <si>
    <t xml:space="preserve">Penalty levied when int. coverage ratio is below </t>
  </si>
  <si>
    <t>Loan Moratorium period</t>
  </si>
  <si>
    <t>Year</t>
  </si>
  <si>
    <t>Loan repayment period (equal installments)</t>
  </si>
  <si>
    <t>Years</t>
  </si>
  <si>
    <t>Capital expenditure</t>
  </si>
  <si>
    <t>Equipment</t>
  </si>
  <si>
    <t>Building</t>
  </si>
  <si>
    <t>Land</t>
  </si>
  <si>
    <t>Tax rate</t>
  </si>
  <si>
    <t>Working capital</t>
  </si>
  <si>
    <t>Debtor days</t>
  </si>
  <si>
    <t>Creditor days</t>
  </si>
  <si>
    <t>Outstanding expenses days</t>
  </si>
  <si>
    <t>days</t>
  </si>
  <si>
    <t>Annual reduction</t>
  </si>
  <si>
    <t>Annual increase</t>
  </si>
  <si>
    <t>Dividend Policy</t>
  </si>
  <si>
    <t>If net margin is more than</t>
  </si>
  <si>
    <t>Particulars</t>
  </si>
  <si>
    <t>Year ending</t>
  </si>
  <si>
    <t>Annual Production capacity</t>
  </si>
  <si>
    <t>Capacity utilisation</t>
  </si>
  <si>
    <t>Percentage</t>
  </si>
  <si>
    <t>Total Production</t>
  </si>
  <si>
    <t>%</t>
  </si>
  <si>
    <t>Units available</t>
  </si>
  <si>
    <t>Opening stock</t>
  </si>
  <si>
    <t>Add: Production</t>
  </si>
  <si>
    <t xml:space="preserve">Available Units </t>
  </si>
  <si>
    <t>Units sold</t>
  </si>
  <si>
    <t>Closing stock</t>
  </si>
  <si>
    <t>Revenue</t>
  </si>
  <si>
    <t>COGS</t>
  </si>
  <si>
    <t>Cost of production</t>
  </si>
  <si>
    <t>Material/unit</t>
  </si>
  <si>
    <t>Labour/unit</t>
  </si>
  <si>
    <t>Total cost of production</t>
  </si>
  <si>
    <t>Less: Closing Stock</t>
  </si>
  <si>
    <t>Cost of goods sold</t>
  </si>
  <si>
    <t>Less: COGS</t>
  </si>
  <si>
    <t>Gross Profit</t>
  </si>
  <si>
    <t>Less: Indirect Cost</t>
  </si>
  <si>
    <t>Selling, general and admin expenses</t>
  </si>
  <si>
    <t>Total indirect cost</t>
  </si>
  <si>
    <t>EBIT</t>
  </si>
  <si>
    <t>Less: Interest expenses</t>
  </si>
  <si>
    <t>Less: Income tax</t>
  </si>
  <si>
    <t>EAT</t>
  </si>
  <si>
    <t>Less: Dividend paid</t>
  </si>
  <si>
    <t>Transfer to reserves</t>
  </si>
  <si>
    <t>Opening balance</t>
  </si>
  <si>
    <t>Add: Purchases</t>
  </si>
  <si>
    <t>Less: Sales</t>
  </si>
  <si>
    <t>Gross block</t>
  </si>
  <si>
    <t>Net block</t>
  </si>
  <si>
    <t>Add: Loan taken</t>
  </si>
  <si>
    <t>Less: Loan repaid</t>
  </si>
  <si>
    <t>Closing Balance</t>
  </si>
  <si>
    <t>Interest expenses @12%</t>
  </si>
  <si>
    <t>Interest expenses @15%</t>
  </si>
  <si>
    <t>Interest coverage ratio</t>
  </si>
  <si>
    <t>EBIT/Interest</t>
  </si>
  <si>
    <t>Net margin</t>
  </si>
  <si>
    <t>Liabilities</t>
  </si>
  <si>
    <t>Non-Current Liabilites</t>
  </si>
  <si>
    <t>Current Liabilities</t>
  </si>
  <si>
    <t>Total Liabilities</t>
  </si>
  <si>
    <t>Total Equity</t>
  </si>
  <si>
    <t>Total (Liabilities &amp; Equities)</t>
  </si>
  <si>
    <t>Equity &amp; Liabilities</t>
  </si>
  <si>
    <t>Assets</t>
  </si>
  <si>
    <t>Non-Current assets</t>
  </si>
  <si>
    <t>Current assets</t>
  </si>
  <si>
    <t>Total assets</t>
  </si>
  <si>
    <t>Check</t>
  </si>
  <si>
    <t>Equity share capital</t>
  </si>
  <si>
    <t>Reserves</t>
  </si>
  <si>
    <t>Loan from bank</t>
  </si>
  <si>
    <t>Creditors</t>
  </si>
  <si>
    <t>Outstanding expenses</t>
  </si>
  <si>
    <t>Equipments</t>
  </si>
  <si>
    <t>Debtors</t>
  </si>
  <si>
    <t>Cash</t>
  </si>
  <si>
    <t>Fixed assets (Net block)</t>
  </si>
  <si>
    <t>Debtor Days</t>
  </si>
  <si>
    <t>Cashflow from Operating activities</t>
  </si>
  <si>
    <t>Add: Non cash expenses</t>
  </si>
  <si>
    <t>Cash flow from Operations before impact of working capital</t>
  </si>
  <si>
    <t>Changes Debtors</t>
  </si>
  <si>
    <t>Changes Creditors</t>
  </si>
  <si>
    <t>Changes Outstanding Expenses</t>
  </si>
  <si>
    <t>Add: Items to be considered under other activities</t>
  </si>
  <si>
    <t>Purchases:</t>
  </si>
  <si>
    <t>Cashflow from Investing activities</t>
  </si>
  <si>
    <t>Cashflow from Operations</t>
  </si>
  <si>
    <t>Cashflow from Financing activities</t>
  </si>
  <si>
    <t>Equity contribution</t>
  </si>
  <si>
    <t>Debt taken</t>
  </si>
  <si>
    <t>Debt repaid</t>
  </si>
  <si>
    <t>Interest paid</t>
  </si>
  <si>
    <t>Dividend paid</t>
  </si>
  <si>
    <t>Cashflow from all the activities during the year</t>
  </si>
  <si>
    <t>Add: Opening balance of cash</t>
  </si>
  <si>
    <t>Changes in Closing stock</t>
  </si>
  <si>
    <t>Closing Balance of cash before the introduction of Quasi equity</t>
  </si>
  <si>
    <t xml:space="preserve">Minimum cash balance to be maintained </t>
  </si>
  <si>
    <t xml:space="preserve">Equity capital to be introduced </t>
  </si>
  <si>
    <t>Quasi equity</t>
  </si>
  <si>
    <t>Free cashflow calculation</t>
  </si>
  <si>
    <t>Less: Taxes of business</t>
  </si>
  <si>
    <t>NOPAT (PAT of business)</t>
  </si>
  <si>
    <t xml:space="preserve">Less: Capital expenditure </t>
  </si>
  <si>
    <t xml:space="preserve">Add/Less Changes in working capital </t>
  </si>
  <si>
    <t>Free cashflow to firm (FCFF)</t>
  </si>
  <si>
    <t>Less: Interest after tax</t>
  </si>
  <si>
    <t>Add/Less: Debt taken/repaid</t>
  </si>
  <si>
    <t>Free cashflow to Equity</t>
  </si>
  <si>
    <t>Add: Depreciation &amp; Amortization</t>
  </si>
  <si>
    <t>Depreciation Rate</t>
  </si>
  <si>
    <t>Depreciation for the year</t>
  </si>
  <si>
    <t>Less: Accumulated depreciation</t>
  </si>
  <si>
    <t>Depreciation &amp; Amortization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</si>
</sst>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0&quot;x&quot;"/>
    <numFmt numFmtId="168" formatCode="_-* #,##0_-;\-* #,##0_-;_-* &quot;-&quot;??_-;_-@_-"/>
    <numFmt numFmtId="169" formatCode="&quot;Year&quot;\ 0"/>
    <numFmt numFmtId="170" formatCode="_-* #,##0.0_-;\-* #,##0.0_-;_-* &quot;-&quot;??_-;_-@_-"/>
    <numFmt numFmtId="171" formatCode="0.0&quot;x&quot;"/>
    <numFmt numFmtId="172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/>
    <xf numFmtId="0" fontId="3" fillId="0" borderId="0" xfId="0" applyFont="1" applyAlignment="1">
      <alignment horizontal="left"/>
    </xf>
    <xf numFmtId="9" fontId="0" fillId="0" borderId="0" xfId="0" applyNumberFormat="1"/>
    <xf numFmtId="1" fontId="0" fillId="0" borderId="0" xfId="0" applyNumberFormat="1"/>
    <xf numFmtId="0" fontId="3" fillId="0" borderId="1" xfId="0" applyFont="1" applyBorder="1"/>
    <xf numFmtId="167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68" fontId="0" fillId="0" borderId="0" xfId="0" applyNumberFormat="1"/>
    <xf numFmtId="168" fontId="3" fillId="0" borderId="0" xfId="0" applyNumberFormat="1" applyFont="1"/>
    <xf numFmtId="168" fontId="0" fillId="0" borderId="0" xfId="1" applyNumberFormat="1" applyFont="1"/>
    <xf numFmtId="9" fontId="3" fillId="0" borderId="0" xfId="0" applyNumberFormat="1" applyFont="1"/>
    <xf numFmtId="0" fontId="0" fillId="2" borderId="0" xfId="0" applyFill="1"/>
    <xf numFmtId="0" fontId="3" fillId="3" borderId="0" xfId="0" applyFont="1" applyFill="1"/>
    <xf numFmtId="169" fontId="3" fillId="3" borderId="0" xfId="0" applyNumberFormat="1" applyFont="1" applyFill="1"/>
    <xf numFmtId="0" fontId="5" fillId="3" borderId="0" xfId="0" applyFont="1" applyFill="1"/>
    <xf numFmtId="169" fontId="5" fillId="3" borderId="0" xfId="0" applyNumberFormat="1" applyFont="1" applyFill="1"/>
    <xf numFmtId="15" fontId="3" fillId="3" borderId="0" xfId="0" applyNumberFormat="1" applyFont="1" applyFill="1"/>
    <xf numFmtId="15" fontId="5" fillId="3" borderId="0" xfId="0" applyNumberFormat="1" applyFont="1" applyFill="1"/>
    <xf numFmtId="170" fontId="0" fillId="0" borderId="0" xfId="2" applyNumberFormat="1" applyFont="1"/>
    <xf numFmtId="168" fontId="0" fillId="0" borderId="0" xfId="2" applyNumberFormat="1" applyFont="1"/>
    <xf numFmtId="9" fontId="0" fillId="0" borderId="0" xfId="3" applyFont="1"/>
    <xf numFmtId="168" fontId="3" fillId="0" borderId="0" xfId="2" applyNumberFormat="1" applyFont="1"/>
    <xf numFmtId="9" fontId="0" fillId="0" borderId="0" xfId="2" applyNumberFormat="1" applyFont="1"/>
    <xf numFmtId="0" fontId="3" fillId="0" borderId="2" xfId="0" applyFont="1" applyBorder="1"/>
    <xf numFmtId="168" fontId="3" fillId="0" borderId="2" xfId="2" applyNumberFormat="1" applyFont="1" applyBorder="1"/>
    <xf numFmtId="0" fontId="0" fillId="0" borderId="1" xfId="0" applyBorder="1"/>
    <xf numFmtId="168" fontId="2" fillId="0" borderId="1" xfId="2" applyNumberFormat="1" applyFont="1" applyBorder="1"/>
    <xf numFmtId="0" fontId="0" fillId="0" borderId="3" xfId="0" applyBorder="1"/>
    <xf numFmtId="168" fontId="0" fillId="0" borderId="3" xfId="2" applyNumberFormat="1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3" fillId="0" borderId="1" xfId="2" applyNumberFormat="1" applyFont="1" applyBorder="1"/>
    <xf numFmtId="170" fontId="3" fillId="0" borderId="2" xfId="2" applyNumberFormat="1" applyFont="1" applyBorder="1"/>
    <xf numFmtId="171" fontId="0" fillId="0" borderId="0" xfId="2" applyNumberFormat="1" applyFont="1"/>
    <xf numFmtId="0" fontId="0" fillId="4" borderId="0" xfId="0" applyFill="1"/>
    <xf numFmtId="170" fontId="0" fillId="4" borderId="0" xfId="2" applyNumberFormat="1" applyFont="1" applyFill="1"/>
    <xf numFmtId="171" fontId="0" fillId="0" borderId="0" xfId="2" applyNumberFormat="1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2" applyNumberFormat="1" applyFont="1"/>
    <xf numFmtId="0" fontId="0" fillId="0" borderId="2" xfId="0" applyBorder="1"/>
    <xf numFmtId="0" fontId="0" fillId="0" borderId="2" xfId="0" applyBorder="1" applyAlignment="1">
      <alignment horizontal="center"/>
    </xf>
    <xf numFmtId="168" fontId="2" fillId="0" borderId="2" xfId="2" applyNumberFormat="1" applyFont="1" applyBorder="1"/>
    <xf numFmtId="0" fontId="8" fillId="0" borderId="0" xfId="0" applyFont="1"/>
    <xf numFmtId="41" fontId="0" fillId="0" borderId="0" xfId="0" applyNumberFormat="1"/>
    <xf numFmtId="41" fontId="0" fillId="0" borderId="0" xfId="2" applyNumberFormat="1" applyFont="1"/>
    <xf numFmtId="41" fontId="0" fillId="0" borderId="3" xfId="0" applyNumberFormat="1" applyBorder="1"/>
    <xf numFmtId="41" fontId="0" fillId="0" borderId="3" xfId="2" applyNumberFormat="1" applyFont="1" applyBorder="1"/>
    <xf numFmtId="41" fontId="3" fillId="0" borderId="2" xfId="0" applyNumberFormat="1" applyFont="1" applyBorder="1"/>
    <xf numFmtId="41" fontId="3" fillId="0" borderId="2" xfId="2" applyNumberFormat="1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41" fontId="12" fillId="0" borderId="0" xfId="0" applyNumberFormat="1" applyFont="1"/>
    <xf numFmtId="41" fontId="8" fillId="0" borderId="0" xfId="2" applyNumberFormat="1" applyFont="1"/>
    <xf numFmtId="168" fontId="3" fillId="0" borderId="0" xfId="2" applyNumberFormat="1" applyFont="1" applyBorder="1"/>
    <xf numFmtId="172" fontId="0" fillId="0" borderId="0" xfId="2" applyNumberFormat="1" applyFont="1"/>
    <xf numFmtId="168" fontId="0" fillId="0" borderId="1" xfId="2" applyNumberFormat="1" applyFont="1" applyBorder="1"/>
    <xf numFmtId="41" fontId="0" fillId="0" borderId="0" xfId="2" applyNumberFormat="1" applyFont="1" applyAlignment="1">
      <alignment horizontal="center"/>
    </xf>
    <xf numFmtId="41" fontId="0" fillId="0" borderId="0" xfId="2" applyNumberFormat="1" applyFont="1" applyAlignment="1"/>
    <xf numFmtId="41" fontId="3" fillId="0" borderId="1" xfId="2" applyNumberFormat="1" applyFont="1" applyBorder="1"/>
    <xf numFmtId="41" fontId="3" fillId="0" borderId="0" xfId="2" applyNumberFormat="1" applyFont="1"/>
    <xf numFmtId="9" fontId="3" fillId="0" borderId="1" xfId="3" applyFont="1" applyBorder="1"/>
    <xf numFmtId="9" fontId="0" fillId="0" borderId="1" xfId="3" applyFont="1" applyBorder="1"/>
    <xf numFmtId="168" fontId="3" fillId="0" borderId="1" xfId="3" applyNumberFormat="1" applyFont="1" applyBorder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1">
    <wetp:webextensionref xmlns:r="http://schemas.openxmlformats.org/officeDocument/2006/relationships" r:id="rId3"/>
  </wetp:taskpane>
  <wetp:taskpane dockstate="right" visibility="0" width="350" row="4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B7CDCCD9-651D-488D-8DC7-48EC4C144599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4b6a55ad-dece-4aff-9533-c83e17add09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E909D51-028D-4055-8400-F3DC1B10C4B8}">
  <we:reference id="wa200005502" version="1.0.0.13" store="en-GB" storeType="OMEX"/>
  <we:alternateReferences>
    <we:reference id="wa200005502" version="1.0.0.13" store="wa200005502" storeType="OMEX"/>
  </we:alternateReferences>
  <we:properties>
    <we:property name="docId" value="&quot;Xu5Ez5eMowZl_2ZoNRYu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94F01040-19C7-49C3-8AD0-EE557963D68C}">
  <we:reference id="wa200010215" version="1.0.0.0" store="en-GB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4E3E8B58-7357-4DF9-A429-1246AC6D442C}">
  <we:reference id="wa200005669" version="2.0.0.0" store="en-GB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BB3E-147D-4BE3-9D76-F9440C241262}">
  <dimension ref="A1:C69"/>
  <sheetViews>
    <sheetView showGridLines="0" zoomScale="130" zoomScaleNormal="130" workbookViewId="0">
      <pane ySplit="2" topLeftCell="A15" activePane="bottomLeft" state="frozen"/>
      <selection pane="bottomLeft" activeCell="B28" sqref="B28"/>
    </sheetView>
  </sheetViews>
  <sheetFormatPr defaultRowHeight="14.4" x14ac:dyDescent="0.3"/>
  <cols>
    <col min="1" max="1" width="50.6640625" customWidth="1"/>
    <col min="2" max="2" width="15.109375" bestFit="1" customWidth="1"/>
  </cols>
  <sheetData>
    <row r="1" spans="1:3" x14ac:dyDescent="0.3">
      <c r="A1" s="4" t="s">
        <v>20</v>
      </c>
      <c r="B1" s="2" t="s">
        <v>21</v>
      </c>
    </row>
    <row r="2" spans="1:3" x14ac:dyDescent="0.3">
      <c r="A2" t="s">
        <v>22</v>
      </c>
      <c r="B2" s="3">
        <v>45017</v>
      </c>
    </row>
    <row r="4" spans="1:3" x14ac:dyDescent="0.3">
      <c r="A4" s="2" t="s">
        <v>23</v>
      </c>
    </row>
    <row r="5" spans="1:3" x14ac:dyDescent="0.3">
      <c r="A5" t="s">
        <v>24</v>
      </c>
      <c r="B5" s="10">
        <v>120000</v>
      </c>
      <c r="C5" t="s">
        <v>25</v>
      </c>
    </row>
    <row r="6" spans="1:3" x14ac:dyDescent="0.3">
      <c r="A6" t="s">
        <v>26</v>
      </c>
      <c r="B6" s="5">
        <v>0.48</v>
      </c>
      <c r="C6" t="s">
        <v>27</v>
      </c>
    </row>
    <row r="7" spans="1:3" x14ac:dyDescent="0.3">
      <c r="A7" t="s">
        <v>28</v>
      </c>
      <c r="B7" s="5">
        <v>0.03</v>
      </c>
      <c r="C7" t="s">
        <v>27</v>
      </c>
    </row>
    <row r="8" spans="1:3" x14ac:dyDescent="0.3">
      <c r="A8" t="s">
        <v>29</v>
      </c>
      <c r="B8" s="5">
        <v>0.6</v>
      </c>
      <c r="C8" t="s">
        <v>27</v>
      </c>
    </row>
    <row r="9" spans="1:3" x14ac:dyDescent="0.3">
      <c r="A9" t="s">
        <v>28</v>
      </c>
      <c r="B9" s="5">
        <v>0.03</v>
      </c>
      <c r="C9" t="s">
        <v>27</v>
      </c>
    </row>
    <row r="11" spans="1:3" x14ac:dyDescent="0.3">
      <c r="A11" t="s">
        <v>30</v>
      </c>
      <c r="B11" s="6">
        <v>1000</v>
      </c>
      <c r="C11" t="s">
        <v>31</v>
      </c>
    </row>
    <row r="12" spans="1:3" x14ac:dyDescent="0.3">
      <c r="A12" t="s">
        <v>34</v>
      </c>
      <c r="B12" s="5">
        <v>0.09</v>
      </c>
      <c r="C12" t="s">
        <v>27</v>
      </c>
    </row>
    <row r="13" spans="1:3" x14ac:dyDescent="0.3">
      <c r="A13" t="s">
        <v>32</v>
      </c>
      <c r="B13">
        <v>480</v>
      </c>
      <c r="C13" t="s">
        <v>31</v>
      </c>
    </row>
    <row r="14" spans="1:3" x14ac:dyDescent="0.3">
      <c r="A14" t="s">
        <v>34</v>
      </c>
      <c r="B14" s="5">
        <v>0.05</v>
      </c>
      <c r="C14" t="s">
        <v>27</v>
      </c>
    </row>
    <row r="15" spans="1:3" x14ac:dyDescent="0.3">
      <c r="A15" t="s">
        <v>33</v>
      </c>
      <c r="B15">
        <v>230</v>
      </c>
      <c r="C15" t="s">
        <v>31</v>
      </c>
    </row>
    <row r="16" spans="1:3" x14ac:dyDescent="0.3">
      <c r="A16" t="s">
        <v>34</v>
      </c>
      <c r="B16" s="5">
        <v>7.0000000000000007E-2</v>
      </c>
      <c r="C16" t="s">
        <v>27</v>
      </c>
    </row>
    <row r="18" spans="1:3" x14ac:dyDescent="0.3">
      <c r="A18" t="s">
        <v>36</v>
      </c>
      <c r="B18" s="10">
        <v>1600000</v>
      </c>
      <c r="C18" t="s">
        <v>31</v>
      </c>
    </row>
    <row r="19" spans="1:3" x14ac:dyDescent="0.3">
      <c r="A19" t="s">
        <v>34</v>
      </c>
      <c r="B19" s="5">
        <v>0.06</v>
      </c>
      <c r="C19" t="s">
        <v>27</v>
      </c>
    </row>
    <row r="20" spans="1:3" x14ac:dyDescent="0.3">
      <c r="A20" t="s">
        <v>37</v>
      </c>
      <c r="B20" s="5">
        <v>0.1</v>
      </c>
      <c r="C20" t="s">
        <v>27</v>
      </c>
    </row>
    <row r="22" spans="1:3" x14ac:dyDescent="0.3">
      <c r="A22" s="2" t="s">
        <v>38</v>
      </c>
    </row>
    <row r="23" spans="1:3" x14ac:dyDescent="0.3">
      <c r="A23" s="2" t="s">
        <v>39</v>
      </c>
    </row>
    <row r="24" spans="1:3" x14ac:dyDescent="0.3">
      <c r="A24" t="s">
        <v>40</v>
      </c>
      <c r="B24" s="11">
        <v>400000</v>
      </c>
      <c r="C24" t="s">
        <v>31</v>
      </c>
    </row>
    <row r="25" spans="1:3" x14ac:dyDescent="0.3">
      <c r="A25" t="s">
        <v>41</v>
      </c>
      <c r="B25" s="11">
        <v>400000</v>
      </c>
      <c r="C25" t="s">
        <v>31</v>
      </c>
    </row>
    <row r="26" spans="1:3" x14ac:dyDescent="0.3">
      <c r="A26" t="s">
        <v>42</v>
      </c>
      <c r="B26" s="11">
        <v>400000</v>
      </c>
      <c r="C26" t="s">
        <v>31</v>
      </c>
    </row>
    <row r="27" spans="1:3" x14ac:dyDescent="0.3">
      <c r="A27" t="s">
        <v>43</v>
      </c>
      <c r="B27" s="11">
        <v>400000</v>
      </c>
      <c r="C27" t="s">
        <v>31</v>
      </c>
    </row>
    <row r="28" spans="1:3" x14ac:dyDescent="0.3">
      <c r="A28" s="7" t="s">
        <v>45</v>
      </c>
      <c r="B28" s="12">
        <v>1600000</v>
      </c>
      <c r="C28" s="2" t="s">
        <v>31</v>
      </c>
    </row>
    <row r="29" spans="1:3" x14ac:dyDescent="0.3">
      <c r="B29" s="11"/>
    </row>
    <row r="30" spans="1:3" x14ac:dyDescent="0.3">
      <c r="A30" s="2" t="s">
        <v>46</v>
      </c>
      <c r="B30" s="11"/>
    </row>
    <row r="31" spans="1:3" x14ac:dyDescent="0.3">
      <c r="A31" t="s">
        <v>48</v>
      </c>
      <c r="B31" s="11">
        <v>200000</v>
      </c>
      <c r="C31" t="s">
        <v>49</v>
      </c>
    </row>
    <row r="32" spans="1:3" x14ac:dyDescent="0.3">
      <c r="A32" t="s">
        <v>47</v>
      </c>
      <c r="B32" s="11">
        <v>10</v>
      </c>
      <c r="C32" t="s">
        <v>31</v>
      </c>
    </row>
    <row r="33" spans="1:3" x14ac:dyDescent="0.3">
      <c r="A33" t="s">
        <v>46</v>
      </c>
      <c r="B33" s="11">
        <f>B31*B32</f>
        <v>2000000</v>
      </c>
    </row>
    <row r="34" spans="1:3" x14ac:dyDescent="0.3">
      <c r="B34" s="11"/>
    </row>
    <row r="35" spans="1:3" x14ac:dyDescent="0.3">
      <c r="A35" s="2" t="s">
        <v>44</v>
      </c>
      <c r="B35" s="11"/>
    </row>
    <row r="36" spans="1:3" x14ac:dyDescent="0.3">
      <c r="A36" t="s">
        <v>50</v>
      </c>
      <c r="B36" s="13">
        <v>1500000</v>
      </c>
      <c r="C36" t="s">
        <v>31</v>
      </c>
    </row>
    <row r="37" spans="1:3" x14ac:dyDescent="0.3">
      <c r="A37" t="s">
        <v>51</v>
      </c>
      <c r="B37" s="5">
        <v>0.12</v>
      </c>
      <c r="C37" t="s">
        <v>27</v>
      </c>
    </row>
    <row r="38" spans="1:3" x14ac:dyDescent="0.3">
      <c r="A38" t="s">
        <v>52</v>
      </c>
      <c r="B38" s="5">
        <v>0.15</v>
      </c>
      <c r="C38" t="s">
        <v>27</v>
      </c>
    </row>
    <row r="39" spans="1:3" x14ac:dyDescent="0.3">
      <c r="A39" t="s">
        <v>53</v>
      </c>
      <c r="B39" s="8">
        <v>30</v>
      </c>
    </row>
    <row r="40" spans="1:3" x14ac:dyDescent="0.3">
      <c r="A40" t="s">
        <v>54</v>
      </c>
      <c r="B40">
        <v>1</v>
      </c>
      <c r="C40" t="s">
        <v>55</v>
      </c>
    </row>
    <row r="41" spans="1:3" x14ac:dyDescent="0.3">
      <c r="A41" t="s">
        <v>56</v>
      </c>
      <c r="B41">
        <v>4</v>
      </c>
      <c r="C41" t="s">
        <v>57</v>
      </c>
    </row>
    <row r="43" spans="1:3" x14ac:dyDescent="0.3">
      <c r="A43" s="2" t="s">
        <v>58</v>
      </c>
    </row>
    <row r="44" spans="1:3" x14ac:dyDescent="0.3">
      <c r="A44" t="s">
        <v>59</v>
      </c>
    </row>
    <row r="45" spans="1:3" x14ac:dyDescent="0.3">
      <c r="A45" s="9">
        <v>2023</v>
      </c>
      <c r="B45" s="10">
        <v>1500000</v>
      </c>
      <c r="C45" t="s">
        <v>31</v>
      </c>
    </row>
    <row r="46" spans="1:3" x14ac:dyDescent="0.3">
      <c r="A46" s="9">
        <v>2026</v>
      </c>
      <c r="B46" s="11">
        <v>500000</v>
      </c>
      <c r="C46" t="s">
        <v>31</v>
      </c>
    </row>
    <row r="47" spans="1:3" x14ac:dyDescent="0.3">
      <c r="A47" t="s">
        <v>172</v>
      </c>
      <c r="B47" s="5">
        <v>0.15</v>
      </c>
      <c r="C47" t="s">
        <v>35</v>
      </c>
    </row>
    <row r="49" spans="1:3" x14ac:dyDescent="0.3">
      <c r="A49" t="s">
        <v>60</v>
      </c>
    </row>
    <row r="50" spans="1:3" x14ac:dyDescent="0.3">
      <c r="A50" s="9">
        <v>2023</v>
      </c>
      <c r="B50" s="10">
        <v>200000</v>
      </c>
      <c r="C50" t="s">
        <v>31</v>
      </c>
    </row>
    <row r="51" spans="1:3" x14ac:dyDescent="0.3">
      <c r="A51" t="s">
        <v>172</v>
      </c>
      <c r="B51" s="5">
        <v>0.1</v>
      </c>
      <c r="C51" t="s">
        <v>35</v>
      </c>
    </row>
    <row r="53" spans="1:3" x14ac:dyDescent="0.3">
      <c r="A53" t="s">
        <v>61</v>
      </c>
    </row>
    <row r="54" spans="1:3" x14ac:dyDescent="0.3">
      <c r="A54" s="9">
        <v>2023</v>
      </c>
      <c r="B54" s="10">
        <v>800000</v>
      </c>
      <c r="C54" t="s">
        <v>31</v>
      </c>
    </row>
    <row r="55" spans="1:3" x14ac:dyDescent="0.3">
      <c r="A55" t="s">
        <v>172</v>
      </c>
      <c r="B55" s="5">
        <v>0</v>
      </c>
      <c r="C55" t="s">
        <v>35</v>
      </c>
    </row>
    <row r="57" spans="1:3" x14ac:dyDescent="0.3">
      <c r="A57" s="2" t="s">
        <v>62</v>
      </c>
      <c r="B57" s="14">
        <v>0.3</v>
      </c>
      <c r="C57" s="2" t="s">
        <v>35</v>
      </c>
    </row>
    <row r="59" spans="1:3" x14ac:dyDescent="0.3">
      <c r="A59" s="2" t="s">
        <v>63</v>
      </c>
    </row>
    <row r="60" spans="1:3" x14ac:dyDescent="0.3">
      <c r="A60" t="s">
        <v>64</v>
      </c>
      <c r="B60">
        <v>40</v>
      </c>
      <c r="C60" t="s">
        <v>67</v>
      </c>
    </row>
    <row r="61" spans="1:3" x14ac:dyDescent="0.3">
      <c r="A61" t="s">
        <v>68</v>
      </c>
      <c r="B61">
        <v>2</v>
      </c>
      <c r="C61" t="s">
        <v>67</v>
      </c>
    </row>
    <row r="62" spans="1:3" x14ac:dyDescent="0.3">
      <c r="A62" t="s">
        <v>65</v>
      </c>
      <c r="B62">
        <v>65</v>
      </c>
      <c r="C62" t="s">
        <v>67</v>
      </c>
    </row>
    <row r="63" spans="1:3" x14ac:dyDescent="0.3">
      <c r="A63" t="s">
        <v>69</v>
      </c>
      <c r="B63">
        <v>3</v>
      </c>
      <c r="C63" t="s">
        <v>67</v>
      </c>
    </row>
    <row r="64" spans="1:3" x14ac:dyDescent="0.3">
      <c r="A64" t="s">
        <v>66</v>
      </c>
      <c r="B64">
        <v>30</v>
      </c>
      <c r="C64" t="s">
        <v>67</v>
      </c>
    </row>
    <row r="66" spans="1:3" x14ac:dyDescent="0.3">
      <c r="A66" s="2" t="s">
        <v>70</v>
      </c>
      <c r="B66" s="5">
        <v>0.35</v>
      </c>
      <c r="C66" t="s">
        <v>35</v>
      </c>
    </row>
    <row r="67" spans="1:3" x14ac:dyDescent="0.3">
      <c r="A67" t="s">
        <v>71</v>
      </c>
      <c r="B67" s="5">
        <v>0.12</v>
      </c>
      <c r="C67" t="s">
        <v>35</v>
      </c>
    </row>
    <row r="69" spans="1:3" s="15" customFormat="1" x14ac:dyDescent="0.3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5D46-72BE-42DD-882A-6986EF409CFD}">
  <dimension ref="A1:H28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9" sqref="D29"/>
    </sheetView>
  </sheetViews>
  <sheetFormatPr defaultRowHeight="14.4" x14ac:dyDescent="0.3"/>
  <cols>
    <col min="1" max="1" width="30.6640625" customWidth="1"/>
    <col min="2" max="2" width="11" bestFit="1" customWidth="1"/>
    <col min="4" max="4" width="13" style="23" customWidth="1"/>
    <col min="5" max="5" width="12" style="23" customWidth="1"/>
    <col min="6" max="6" width="12.5546875" style="23" customWidth="1"/>
    <col min="7" max="7" width="12.33203125" style="23" bestFit="1" customWidth="1"/>
    <col min="8" max="8" width="13.33203125" style="23" bestFit="1" customWidth="1"/>
  </cols>
  <sheetData>
    <row r="1" spans="1:8" x14ac:dyDescent="0.3">
      <c r="A1" s="16" t="s">
        <v>72</v>
      </c>
      <c r="B1" s="16"/>
      <c r="C1" s="17">
        <v>0</v>
      </c>
      <c r="D1" s="17">
        <f>C1+1</f>
        <v>1</v>
      </c>
      <c r="E1" s="17">
        <f>D1+1</f>
        <v>2</v>
      </c>
      <c r="F1" s="17">
        <f t="shared" ref="F1:G1" si="0">E1+1</f>
        <v>3</v>
      </c>
      <c r="G1" s="17">
        <f t="shared" si="0"/>
        <v>4</v>
      </c>
      <c r="H1" s="17">
        <f>G1+1</f>
        <v>5</v>
      </c>
    </row>
    <row r="2" spans="1:8" x14ac:dyDescent="0.3">
      <c r="A2" s="16" t="s">
        <v>73</v>
      </c>
      <c r="B2" s="16"/>
      <c r="C2" s="16"/>
      <c r="D2" s="20">
        <f>EOMONTH(Input!B2,11)</f>
        <v>45382</v>
      </c>
      <c r="E2" s="20">
        <f>EOMONTH(D2,12)</f>
        <v>45747</v>
      </c>
      <c r="F2" s="20">
        <f t="shared" ref="F2:G2" si="1">EOMONTH(E2,12)</f>
        <v>46112</v>
      </c>
      <c r="G2" s="20">
        <f t="shared" si="1"/>
        <v>46477</v>
      </c>
      <c r="H2" s="20">
        <f>EOMONTH(G2,12)</f>
        <v>46843</v>
      </c>
    </row>
    <row r="3" spans="1:8" x14ac:dyDescent="0.3">
      <c r="E3" s="22"/>
      <c r="F3" s="22"/>
      <c r="G3" s="22"/>
      <c r="H3" s="22"/>
    </row>
    <row r="4" spans="1:8" x14ac:dyDescent="0.3">
      <c r="A4" t="s">
        <v>74</v>
      </c>
      <c r="B4" s="5" t="s">
        <v>25</v>
      </c>
      <c r="D4" s="23">
        <f>Input!$B$5</f>
        <v>120000</v>
      </c>
      <c r="E4" s="23">
        <f>Input!$B$5</f>
        <v>120000</v>
      </c>
      <c r="F4" s="23">
        <f>Input!$B$5</f>
        <v>120000</v>
      </c>
      <c r="G4" s="23">
        <f>Input!$B$5</f>
        <v>120000</v>
      </c>
      <c r="H4" s="23">
        <f>Input!$B$5</f>
        <v>120000</v>
      </c>
    </row>
    <row r="5" spans="1:8" x14ac:dyDescent="0.3">
      <c r="A5" t="s">
        <v>75</v>
      </c>
      <c r="B5" t="s">
        <v>76</v>
      </c>
      <c r="D5" s="24">
        <f>MAX(Input!$B$6,Revenue!C5+Input!$B$7)</f>
        <v>0.48</v>
      </c>
      <c r="E5" s="24">
        <f>MAX(Input!$B$6,Revenue!D5+Input!$B$7)</f>
        <v>0.51</v>
      </c>
      <c r="F5" s="24">
        <f>MAX(Input!$B$6,Revenue!E5+Input!$B$7)</f>
        <v>0.54</v>
      </c>
      <c r="G5" s="24">
        <f>MAX(Input!$B$6,Revenue!F5+Input!$B$7)</f>
        <v>0.57000000000000006</v>
      </c>
      <c r="H5" s="24">
        <f>MAX(Input!$B$6,Revenue!G5+Input!$B$7)</f>
        <v>0.60000000000000009</v>
      </c>
    </row>
    <row r="6" spans="1:8" x14ac:dyDescent="0.3">
      <c r="A6" s="2" t="s">
        <v>77</v>
      </c>
      <c r="B6" t="s">
        <v>25</v>
      </c>
      <c r="D6" s="23">
        <f>D4*D5</f>
        <v>57600</v>
      </c>
      <c r="E6" s="23">
        <f t="shared" ref="E6:H6" si="2">E4*E5</f>
        <v>61200</v>
      </c>
      <c r="F6" s="23">
        <f t="shared" si="2"/>
        <v>64800.000000000007</v>
      </c>
      <c r="G6" s="23">
        <f t="shared" si="2"/>
        <v>68400.000000000015</v>
      </c>
      <c r="H6" s="23">
        <f t="shared" si="2"/>
        <v>72000.000000000015</v>
      </c>
    </row>
    <row r="7" spans="1:8" x14ac:dyDescent="0.3">
      <c r="D7" s="22"/>
      <c r="E7" s="22"/>
      <c r="F7" s="22"/>
      <c r="G7" s="22"/>
      <c r="H7" s="22"/>
    </row>
    <row r="8" spans="1:8" x14ac:dyDescent="0.3">
      <c r="A8" t="s">
        <v>29</v>
      </c>
      <c r="B8" t="s">
        <v>78</v>
      </c>
      <c r="D8" s="26">
        <f>MAX(Input!$B$8,Revenue!C8+Input!$B$9)</f>
        <v>0.6</v>
      </c>
      <c r="E8" s="26">
        <f>MAX(Input!$B$8,Revenue!D8+Input!$B$9)</f>
        <v>0.63</v>
      </c>
      <c r="F8" s="26">
        <f>MAX(Input!$B$8,Revenue!E8+Input!$B$9)</f>
        <v>0.66</v>
      </c>
      <c r="G8" s="26">
        <f>MAX(Input!$B$8,Revenue!F8+Input!$B$9)</f>
        <v>0.69000000000000006</v>
      </c>
      <c r="H8" s="26">
        <f>MAX(Input!$B$8,Revenue!G8+Input!$B$9)</f>
        <v>0.72000000000000008</v>
      </c>
    </row>
    <row r="9" spans="1:8" x14ac:dyDescent="0.3">
      <c r="D9" s="22"/>
      <c r="E9" s="22"/>
      <c r="F9" s="22"/>
      <c r="G9" s="22"/>
      <c r="H9" s="22"/>
    </row>
    <row r="10" spans="1:8" x14ac:dyDescent="0.3">
      <c r="A10" s="2" t="s">
        <v>79</v>
      </c>
      <c r="D10" s="22"/>
      <c r="E10" s="22"/>
      <c r="F10" s="22"/>
      <c r="G10" s="22"/>
      <c r="H10" s="22"/>
    </row>
    <row r="11" spans="1:8" x14ac:dyDescent="0.3">
      <c r="A11" t="s">
        <v>80</v>
      </c>
      <c r="B11" t="s">
        <v>25</v>
      </c>
      <c r="D11" s="22"/>
      <c r="E11" s="23">
        <f>D15</f>
        <v>23040</v>
      </c>
      <c r="F11" s="23">
        <f t="shared" ref="F11:H11" si="3">E15</f>
        <v>31168.800000000003</v>
      </c>
      <c r="G11" s="23">
        <f t="shared" si="3"/>
        <v>32629.392</v>
      </c>
      <c r="H11" s="23">
        <f t="shared" si="3"/>
        <v>31319.111520000006</v>
      </c>
    </row>
    <row r="12" spans="1:8" x14ac:dyDescent="0.3">
      <c r="A12" t="s">
        <v>81</v>
      </c>
      <c r="B12" t="s">
        <v>25</v>
      </c>
      <c r="D12" s="23">
        <f>D6</f>
        <v>57600</v>
      </c>
      <c r="E12" s="23">
        <f>E6</f>
        <v>61200</v>
      </c>
      <c r="F12" s="23">
        <f t="shared" ref="F12:H12" si="4">F6</f>
        <v>64800.000000000007</v>
      </c>
      <c r="G12" s="23">
        <f t="shared" si="4"/>
        <v>68400.000000000015</v>
      </c>
      <c r="H12" s="23">
        <f t="shared" si="4"/>
        <v>72000.000000000015</v>
      </c>
    </row>
    <row r="13" spans="1:8" s="2" customFormat="1" x14ac:dyDescent="0.3">
      <c r="A13" s="2" t="s">
        <v>82</v>
      </c>
      <c r="B13" t="s">
        <v>25</v>
      </c>
      <c r="D13" s="25">
        <f>SUM(D11:D12)</f>
        <v>57600</v>
      </c>
      <c r="E13" s="25">
        <f>SUM(E11:E12)</f>
        <v>84240</v>
      </c>
      <c r="F13" s="25">
        <f t="shared" ref="F13:H13" si="5">SUM(F11:F12)</f>
        <v>95968.800000000017</v>
      </c>
      <c r="G13" s="25">
        <f t="shared" si="5"/>
        <v>101029.39200000002</v>
      </c>
      <c r="H13" s="25">
        <f t="shared" si="5"/>
        <v>103319.11152000002</v>
      </c>
    </row>
    <row r="14" spans="1:8" x14ac:dyDescent="0.3">
      <c r="A14" t="s">
        <v>83</v>
      </c>
      <c r="B14" t="s">
        <v>25</v>
      </c>
      <c r="D14" s="23">
        <f>D13*D8</f>
        <v>34560</v>
      </c>
      <c r="E14" s="23">
        <f>E13*E8</f>
        <v>53071.199999999997</v>
      </c>
      <c r="F14" s="23">
        <f t="shared" ref="F14:H14" si="6">F13*F8</f>
        <v>63339.408000000018</v>
      </c>
      <c r="G14" s="23">
        <f t="shared" si="6"/>
        <v>69710.280480000016</v>
      </c>
      <c r="H14" s="23">
        <f t="shared" si="6"/>
        <v>74389.760294400025</v>
      </c>
    </row>
    <row r="15" spans="1:8" s="2" customFormat="1" x14ac:dyDescent="0.3">
      <c r="A15" s="2" t="s">
        <v>84</v>
      </c>
      <c r="B15" t="s">
        <v>25</v>
      </c>
      <c r="D15" s="25">
        <f>D13-D14</f>
        <v>23040</v>
      </c>
      <c r="E15" s="25">
        <f>E13-E14</f>
        <v>31168.800000000003</v>
      </c>
      <c r="F15" s="25">
        <f t="shared" ref="F15:H15" si="7">F13-F14</f>
        <v>32629.392</v>
      </c>
      <c r="G15" s="25">
        <f t="shared" si="7"/>
        <v>31319.111520000006</v>
      </c>
      <c r="H15" s="25">
        <f t="shared" si="7"/>
        <v>28929.351225599996</v>
      </c>
    </row>
    <row r="17" spans="1:8" x14ac:dyDescent="0.3">
      <c r="A17" t="s">
        <v>30</v>
      </c>
      <c r="B17" t="s">
        <v>31</v>
      </c>
      <c r="D17" s="23">
        <f>MAX(Input!$B$11,Revenue!C17*(1+Input!$B$12))</f>
        <v>1000</v>
      </c>
      <c r="E17" s="23">
        <f>MAX(Input!$B$11,Revenue!D17*(1+Input!$B$12))</f>
        <v>1090</v>
      </c>
      <c r="F17" s="23">
        <f>MAX(Input!$B$11,Revenue!E17*(1+Input!$B$12))</f>
        <v>1188.1000000000001</v>
      </c>
      <c r="G17" s="23">
        <f>MAX(Input!$B$11,Revenue!F17*(1+Input!$B$12))</f>
        <v>1295.0290000000002</v>
      </c>
      <c r="H17" s="23">
        <f>MAX(Input!$B$11,Revenue!G17*(1+Input!$B$12))</f>
        <v>1411.5816100000004</v>
      </c>
    </row>
    <row r="18" spans="1:8" x14ac:dyDescent="0.3">
      <c r="A18" s="2" t="s">
        <v>85</v>
      </c>
      <c r="B18" s="2" t="s">
        <v>31</v>
      </c>
      <c r="C18" s="2"/>
      <c r="D18" s="25">
        <f>D17*D14</f>
        <v>34560000</v>
      </c>
      <c r="E18" s="25">
        <f>E17*E14</f>
        <v>57847608</v>
      </c>
      <c r="F18" s="25">
        <f t="shared" ref="F18:H18" si="8">F17*F14</f>
        <v>75253550.644800022</v>
      </c>
      <c r="G18" s="25">
        <f t="shared" si="8"/>
        <v>90276834.819733962</v>
      </c>
      <c r="H18" s="25">
        <f t="shared" si="8"/>
        <v>105007217.6038833</v>
      </c>
    </row>
    <row r="20" spans="1:8" x14ac:dyDescent="0.3">
      <c r="A20" t="s">
        <v>86</v>
      </c>
    </row>
    <row r="21" spans="1:8" x14ac:dyDescent="0.3">
      <c r="A21" t="s">
        <v>87</v>
      </c>
    </row>
    <row r="22" spans="1:8" x14ac:dyDescent="0.3">
      <c r="A22" t="s">
        <v>88</v>
      </c>
      <c r="B22" t="s">
        <v>31</v>
      </c>
      <c r="D22" s="23">
        <f>MAX(C22*(1+Input!$B$14),Input!$B$13)</f>
        <v>480</v>
      </c>
      <c r="E22" s="23">
        <f>MAX(D22*(1+Input!$B$14),Input!$B$13)</f>
        <v>504</v>
      </c>
      <c r="F22" s="23">
        <f>MAX(E22*(1+Input!$B$14),Input!$B$13)</f>
        <v>529.20000000000005</v>
      </c>
      <c r="G22" s="23">
        <f>MAX(F22*(1+Input!$B$14),Input!$B$13)</f>
        <v>555.66000000000008</v>
      </c>
      <c r="H22" s="23">
        <f>MAX(G22*(1+Input!$B$14),Input!$B$13)</f>
        <v>583.4430000000001</v>
      </c>
    </row>
    <row r="23" spans="1:8" x14ac:dyDescent="0.3">
      <c r="A23" t="s">
        <v>89</v>
      </c>
      <c r="B23" t="s">
        <v>31</v>
      </c>
      <c r="D23" s="23">
        <f>MAX(C23*(1+Input!$B$16),Input!$B$15)</f>
        <v>230</v>
      </c>
      <c r="E23" s="23">
        <f>MAX(D23*(1+Input!$B$16),Input!$B$15)</f>
        <v>246.10000000000002</v>
      </c>
      <c r="F23" s="23">
        <f>MAX(E23*(1+Input!$B$16),Input!$B$15)</f>
        <v>263.32700000000006</v>
      </c>
      <c r="G23" s="23">
        <f>MAX(F23*(1+Input!$B$16),Input!$B$15)</f>
        <v>281.7598900000001</v>
      </c>
      <c r="H23" s="23">
        <f>MAX(G23*(1+Input!$B$16),Input!$B$15)</f>
        <v>301.48308230000015</v>
      </c>
    </row>
    <row r="25" spans="1:8" x14ac:dyDescent="0.3">
      <c r="A25" t="s">
        <v>80</v>
      </c>
      <c r="D25" s="23">
        <f>C27</f>
        <v>0</v>
      </c>
      <c r="E25" s="23">
        <f>D27</f>
        <v>16358400</v>
      </c>
      <c r="F25" s="23">
        <f t="shared" ref="F25:H25" si="9">E27</f>
        <v>23379716.880000003</v>
      </c>
      <c r="G25" s="23">
        <f t="shared" si="9"/>
        <v>25859674.153584</v>
      </c>
      <c r="H25" s="23">
        <f t="shared" si="9"/>
        <v>26227246.923976142</v>
      </c>
    </row>
    <row r="26" spans="1:8" x14ac:dyDescent="0.3">
      <c r="A26" t="s">
        <v>90</v>
      </c>
      <c r="B26" t="s">
        <v>31</v>
      </c>
      <c r="D26" s="23">
        <f>SUM(D22:D23)*D6</f>
        <v>40896000</v>
      </c>
      <c r="E26" s="23">
        <f>SUM(E22:E23)*E6</f>
        <v>45906120</v>
      </c>
      <c r="F26" s="23">
        <f>SUM(F22:F23)*F6</f>
        <v>51355749.600000009</v>
      </c>
      <c r="G26" s="23">
        <f>SUM(G22:G23)*G6</f>
        <v>57279520.476000018</v>
      </c>
      <c r="H26" s="23">
        <f>SUM(H22:H23)*H6</f>
        <v>63714677.92560003</v>
      </c>
    </row>
    <row r="27" spans="1:8" x14ac:dyDescent="0.3">
      <c r="A27" t="s">
        <v>91</v>
      </c>
      <c r="D27" s="23">
        <f>D15*(SUM(D22:D23))</f>
        <v>16358400</v>
      </c>
      <c r="E27" s="23">
        <f t="shared" ref="E27:H27" si="10">E15*(SUM(E22:E23))</f>
        <v>23379716.880000003</v>
      </c>
      <c r="F27" s="23">
        <f t="shared" si="10"/>
        <v>25859674.153584</v>
      </c>
      <c r="G27" s="23">
        <f t="shared" si="10"/>
        <v>26227246.923976142</v>
      </c>
      <c r="H27" s="23">
        <f t="shared" si="10"/>
        <v>25600337.443550915</v>
      </c>
    </row>
    <row r="28" spans="1:8" x14ac:dyDescent="0.3">
      <c r="A28" s="27" t="s">
        <v>92</v>
      </c>
      <c r="B28" s="27"/>
      <c r="C28" s="27"/>
      <c r="D28" s="28">
        <f>D25+D26-D27</f>
        <v>24537600</v>
      </c>
      <c r="E28" s="28">
        <f t="shared" ref="E28:H28" si="11">E25+E26-E27</f>
        <v>38884803.119999997</v>
      </c>
      <c r="F28" s="28">
        <f t="shared" si="11"/>
        <v>48875792.326416016</v>
      </c>
      <c r="G28" s="28">
        <f t="shared" si="11"/>
        <v>56911947.705607876</v>
      </c>
      <c r="H28" s="28">
        <f t="shared" si="11"/>
        <v>64341587.406025261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CA6F-DC41-41C4-921F-F335D649EC96}">
  <dimension ref="A1:H19"/>
  <sheetViews>
    <sheetView showGridLines="0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3" sqref="D13"/>
    </sheetView>
  </sheetViews>
  <sheetFormatPr defaultRowHeight="14.4" x14ac:dyDescent="0.3"/>
  <cols>
    <col min="1" max="1" width="30.6640625" customWidth="1"/>
    <col min="4" max="8" width="13.88671875" style="22" bestFit="1" customWidth="1"/>
  </cols>
  <sheetData>
    <row r="1" spans="1:8" x14ac:dyDescent="0.3">
      <c r="A1" s="18" t="s">
        <v>72</v>
      </c>
      <c r="B1" s="18"/>
      <c r="C1" s="19">
        <v>0</v>
      </c>
      <c r="D1" s="19">
        <f>C1+1</f>
        <v>1</v>
      </c>
      <c r="E1" s="19">
        <f>D1+1</f>
        <v>2</v>
      </c>
      <c r="F1" s="19">
        <f t="shared" ref="F1:G1" si="0">E1+1</f>
        <v>3</v>
      </c>
      <c r="G1" s="19">
        <f t="shared" si="0"/>
        <v>4</v>
      </c>
      <c r="H1" s="19">
        <f>G1+1</f>
        <v>5</v>
      </c>
    </row>
    <row r="2" spans="1:8" x14ac:dyDescent="0.3">
      <c r="A2" s="18" t="s">
        <v>73</v>
      </c>
      <c r="B2" s="18"/>
      <c r="C2" s="18"/>
      <c r="D2" s="21">
        <f>EOMONTH(Input!B2,11)</f>
        <v>45382</v>
      </c>
      <c r="E2" s="21">
        <f>EOMONTH(D2,12)</f>
        <v>45747</v>
      </c>
      <c r="F2" s="21">
        <f t="shared" ref="F2:G2" si="1">EOMONTH(E2,12)</f>
        <v>46112</v>
      </c>
      <c r="G2" s="21">
        <f t="shared" si="1"/>
        <v>46477</v>
      </c>
      <c r="H2" s="21">
        <f>EOMONTH(G2,12)</f>
        <v>46843</v>
      </c>
    </row>
    <row r="3" spans="1:8" x14ac:dyDescent="0.3">
      <c r="A3" s="29" t="str">
        <f>Revenue!A18</f>
        <v>Revenue</v>
      </c>
      <c r="B3" s="33" t="str">
        <f>Revenue!B18</f>
        <v>Rs.</v>
      </c>
      <c r="C3" s="29">
        <f>Revenue!C18</f>
        <v>0</v>
      </c>
      <c r="D3" s="30">
        <f>Revenue!D18</f>
        <v>34560000</v>
      </c>
      <c r="E3" s="30">
        <f>Revenue!E18</f>
        <v>57847608</v>
      </c>
      <c r="F3" s="30">
        <f>Revenue!F18</f>
        <v>75253550.644800022</v>
      </c>
      <c r="G3" s="30">
        <f>Revenue!G18</f>
        <v>90276834.819733962</v>
      </c>
      <c r="H3" s="30">
        <f>Revenue!H18</f>
        <v>105007217.6038833</v>
      </c>
    </row>
    <row r="4" spans="1:8" x14ac:dyDescent="0.3">
      <c r="A4" s="31" t="s">
        <v>93</v>
      </c>
      <c r="B4" s="34" t="s">
        <v>31</v>
      </c>
      <c r="C4" s="31">
        <f>Revenue!C28</f>
        <v>0</v>
      </c>
      <c r="D4" s="32">
        <f>Revenue!D28</f>
        <v>24537600</v>
      </c>
      <c r="E4" s="32">
        <f>Revenue!E28</f>
        <v>38884803.119999997</v>
      </c>
      <c r="F4" s="32">
        <f>Revenue!F28</f>
        <v>48875792.326416016</v>
      </c>
      <c r="G4" s="32">
        <f>Revenue!G28</f>
        <v>56911947.705607876</v>
      </c>
      <c r="H4" s="32">
        <f>Revenue!H28</f>
        <v>64341587.406025261</v>
      </c>
    </row>
    <row r="5" spans="1:8" x14ac:dyDescent="0.3">
      <c r="A5" s="2" t="s">
        <v>94</v>
      </c>
      <c r="B5" s="35" t="s">
        <v>31</v>
      </c>
      <c r="C5" s="2"/>
      <c r="D5" s="25">
        <f>D3-D4</f>
        <v>10022400</v>
      </c>
      <c r="E5" s="25">
        <f t="shared" ref="E5:H5" si="2">E3-E4</f>
        <v>18962804.880000003</v>
      </c>
      <c r="F5" s="25">
        <f t="shared" si="2"/>
        <v>26377758.318384007</v>
      </c>
      <c r="G5" s="25">
        <f t="shared" si="2"/>
        <v>33364887.114126086</v>
      </c>
      <c r="H5" s="25">
        <f t="shared" si="2"/>
        <v>40665630.197858036</v>
      </c>
    </row>
    <row r="6" spans="1:8" x14ac:dyDescent="0.3">
      <c r="A6" t="s">
        <v>95</v>
      </c>
      <c r="B6" s="36" t="s">
        <v>31</v>
      </c>
    </row>
    <row r="7" spans="1:8" x14ac:dyDescent="0.3">
      <c r="A7" t="s">
        <v>37</v>
      </c>
      <c r="B7" s="36" t="s">
        <v>31</v>
      </c>
      <c r="D7" s="23">
        <f>D3*Input!$B$20</f>
        <v>3456000</v>
      </c>
      <c r="E7" s="23">
        <f>E3*Input!$B$20</f>
        <v>5784760.8000000007</v>
      </c>
      <c r="F7" s="23">
        <f>F3*Input!$B$20</f>
        <v>7525355.064480003</v>
      </c>
      <c r="G7" s="23">
        <f>G3*Input!$B$20</f>
        <v>9027683.4819733966</v>
      </c>
      <c r="H7" s="23">
        <f>H3*Input!$B$20</f>
        <v>10500721.76038833</v>
      </c>
    </row>
    <row r="8" spans="1:8" x14ac:dyDescent="0.3">
      <c r="A8" t="s">
        <v>96</v>
      </c>
      <c r="B8" s="36" t="s">
        <v>31</v>
      </c>
      <c r="D8" s="23">
        <f>MAX(Input!$B$18,'P&amp;L'!C8*(1+Input!$B$19))</f>
        <v>1600000</v>
      </c>
      <c r="E8" s="23">
        <f>MAX(Input!$B$18,'P&amp;L'!D8*(1+Input!$B$19))</f>
        <v>1696000</v>
      </c>
      <c r="F8" s="23">
        <f>MAX(Input!$B$18,'P&amp;L'!E8*(1+Input!$B$19))</f>
        <v>1797760</v>
      </c>
      <c r="G8" s="23">
        <f>MAX(Input!$B$18,'P&amp;L'!F8*(1+Input!$B$19))</f>
        <v>1905625.6</v>
      </c>
      <c r="H8" s="23">
        <f>MAX(Input!$B$18,'P&amp;L'!G8*(1+Input!$B$19))</f>
        <v>2019963.1360000002</v>
      </c>
    </row>
    <row r="9" spans="1:8" x14ac:dyDescent="0.3">
      <c r="A9" s="29" t="s">
        <v>97</v>
      </c>
      <c r="B9" s="33" t="s">
        <v>31</v>
      </c>
      <c r="C9" s="29"/>
      <c r="D9" s="30">
        <f>SUM(D7:D8)</f>
        <v>5056000</v>
      </c>
      <c r="E9" s="30">
        <f t="shared" ref="E9:H9" si="3">SUM(E7:E8)</f>
        <v>7480760.8000000007</v>
      </c>
      <c r="F9" s="30">
        <f t="shared" si="3"/>
        <v>9323115.064480003</v>
      </c>
      <c r="G9" s="30">
        <f t="shared" si="3"/>
        <v>10933309.081973396</v>
      </c>
      <c r="H9" s="30">
        <f t="shared" si="3"/>
        <v>12520684.89638833</v>
      </c>
    </row>
    <row r="10" spans="1:8" x14ac:dyDescent="0.3">
      <c r="A10" s="2" t="s">
        <v>5</v>
      </c>
      <c r="B10" s="35" t="s">
        <v>31</v>
      </c>
      <c r="C10" s="2"/>
      <c r="D10" s="25">
        <f>D5-D9</f>
        <v>4966400</v>
      </c>
      <c r="E10" s="25">
        <f t="shared" ref="E10:H10" si="4">E5-E9</f>
        <v>11482044.080000002</v>
      </c>
      <c r="F10" s="25">
        <f t="shared" si="4"/>
        <v>17054643.253904004</v>
      </c>
      <c r="G10" s="25">
        <f t="shared" si="4"/>
        <v>22431578.03215269</v>
      </c>
      <c r="H10" s="25">
        <f t="shared" si="4"/>
        <v>28144945.301469706</v>
      </c>
    </row>
    <row r="11" spans="1:8" x14ac:dyDescent="0.3">
      <c r="A11" t="s">
        <v>6</v>
      </c>
      <c r="B11" s="36" t="s">
        <v>31</v>
      </c>
      <c r="D11" s="23">
        <f>SUM('Fixed Assets'!D10,'Fixed Assets'!D19,'Fixed Assets'!D28)</f>
        <v>245000</v>
      </c>
      <c r="E11" s="23">
        <f>SUM('Fixed Assets'!E10,'Fixed Assets'!E19,'Fixed Assets'!E28)</f>
        <v>245000</v>
      </c>
      <c r="F11" s="23">
        <f>SUM('Fixed Assets'!F10,'Fixed Assets'!F19,'Fixed Assets'!F28)</f>
        <v>320000</v>
      </c>
      <c r="G11" s="23">
        <f>SUM('Fixed Assets'!G10,'Fixed Assets'!G19,'Fixed Assets'!G28)</f>
        <v>320000</v>
      </c>
      <c r="H11" s="23">
        <f>SUM('Fixed Assets'!H10,'Fixed Assets'!H19,'Fixed Assets'!H28)</f>
        <v>320000</v>
      </c>
    </row>
    <row r="12" spans="1:8" x14ac:dyDescent="0.3">
      <c r="A12" s="2" t="s">
        <v>98</v>
      </c>
      <c r="B12" s="35" t="s">
        <v>31</v>
      </c>
      <c r="C12" s="2"/>
      <c r="D12" s="25">
        <f>D10-D11</f>
        <v>4721400</v>
      </c>
      <c r="E12" s="25">
        <f t="shared" ref="E12:H12" si="5">E10-E11</f>
        <v>11237044.080000002</v>
      </c>
      <c r="F12" s="25">
        <f t="shared" si="5"/>
        <v>16734643.253904004</v>
      </c>
      <c r="G12" s="25">
        <f t="shared" si="5"/>
        <v>22111578.03215269</v>
      </c>
      <c r="H12" s="25">
        <f t="shared" si="5"/>
        <v>27824945.301469706</v>
      </c>
    </row>
    <row r="13" spans="1:8" x14ac:dyDescent="0.3">
      <c r="A13" t="s">
        <v>99</v>
      </c>
      <c r="B13" s="36" t="s">
        <v>31</v>
      </c>
      <c r="D13" s="23">
        <f>IF('Debt Schedule'!D11&lt;Input!$B$39,'Debt Schedule'!D9,'Debt Schedule'!D8)</f>
        <v>225000</v>
      </c>
      <c r="E13" s="23">
        <f>IF('Debt Schedule'!E11&lt;Input!$B$39,'Debt Schedule'!E9,'Debt Schedule'!E8)</f>
        <v>135000</v>
      </c>
      <c r="F13" s="23">
        <f>IF('Debt Schedule'!F11&lt;Input!$B$39,'Debt Schedule'!F9,'Debt Schedule'!F8)</f>
        <v>90000</v>
      </c>
      <c r="G13" s="23">
        <f>IF('Debt Schedule'!G11&lt;Input!$B$39,'Debt Schedule'!G9,'Debt Schedule'!G8)</f>
        <v>45000</v>
      </c>
      <c r="H13" s="23">
        <f>IF('Debt Schedule'!H11&lt;Input!$B$39,'Debt Schedule'!H9,'Debt Schedule'!H8)</f>
        <v>0</v>
      </c>
    </row>
    <row r="14" spans="1:8" x14ac:dyDescent="0.3">
      <c r="A14" s="2" t="s">
        <v>9</v>
      </c>
      <c r="B14" s="35" t="s">
        <v>31</v>
      </c>
      <c r="C14" s="2"/>
      <c r="D14" s="25">
        <f>D12-D13</f>
        <v>4496400</v>
      </c>
      <c r="E14" s="25">
        <f t="shared" ref="E14:H14" si="6">E12-E13</f>
        <v>11102044.080000002</v>
      </c>
      <c r="F14" s="25">
        <f t="shared" si="6"/>
        <v>16644643.253904004</v>
      </c>
      <c r="G14" s="25">
        <f t="shared" si="6"/>
        <v>22066578.03215269</v>
      </c>
      <c r="H14" s="25">
        <f t="shared" si="6"/>
        <v>27824945.301469706</v>
      </c>
    </row>
    <row r="15" spans="1:8" x14ac:dyDescent="0.3">
      <c r="A15" t="s">
        <v>100</v>
      </c>
      <c r="B15" s="36" t="s">
        <v>31</v>
      </c>
      <c r="D15" s="23">
        <f>D14*Input!$B$57</f>
        <v>1348920</v>
      </c>
      <c r="E15" s="23">
        <f>E14*Input!$B$57</f>
        <v>3330613.2240000004</v>
      </c>
      <c r="F15" s="23">
        <f>F14*Input!$B$57</f>
        <v>4993392.9761712011</v>
      </c>
      <c r="G15" s="23">
        <f>G14*Input!$B$57</f>
        <v>6619973.409645807</v>
      </c>
      <c r="H15" s="23">
        <f>H14*Input!$B$57</f>
        <v>8347483.5904409112</v>
      </c>
    </row>
    <row r="16" spans="1:8" s="2" customFormat="1" x14ac:dyDescent="0.3">
      <c r="A16" s="7" t="s">
        <v>101</v>
      </c>
      <c r="B16" s="35" t="s">
        <v>31</v>
      </c>
      <c r="C16" s="7"/>
      <c r="D16" s="37">
        <f>D14-D15</f>
        <v>3147480</v>
      </c>
      <c r="E16" s="37">
        <f t="shared" ref="E16:H16" si="7">E14-E15</f>
        <v>7771430.8560000015</v>
      </c>
      <c r="F16" s="37">
        <f t="shared" si="7"/>
        <v>11651250.277732803</v>
      </c>
      <c r="G16" s="37">
        <f t="shared" si="7"/>
        <v>15446604.622506883</v>
      </c>
      <c r="H16" s="37">
        <f t="shared" si="7"/>
        <v>19477461.711028796</v>
      </c>
    </row>
    <row r="17" spans="1:8" s="45" customFormat="1" ht="12" x14ac:dyDescent="0.25">
      <c r="A17" s="43" t="s">
        <v>116</v>
      </c>
      <c r="B17" s="44" t="s">
        <v>31</v>
      </c>
      <c r="D17" s="46">
        <f>D16/D3</f>
        <v>9.107291666666667E-2</v>
      </c>
      <c r="E17" s="46">
        <f t="shared" ref="E17:H17" si="8">E16/E3</f>
        <v>0.13434316689464501</v>
      </c>
      <c r="F17" s="46">
        <f t="shared" si="8"/>
        <v>0.15482658529598428</v>
      </c>
      <c r="G17" s="46">
        <f t="shared" si="8"/>
        <v>0.17110263838282411</v>
      </c>
      <c r="H17" s="46">
        <f t="shared" si="8"/>
        <v>0.18548688514444073</v>
      </c>
    </row>
    <row r="18" spans="1:8" x14ac:dyDescent="0.3">
      <c r="A18" t="s">
        <v>102</v>
      </c>
      <c r="B18" s="36" t="s">
        <v>31</v>
      </c>
      <c r="D18" s="23">
        <f>IF(D17&gt;12%,Input!$B$66*'P&amp;L'!D16,0)</f>
        <v>0</v>
      </c>
      <c r="E18" s="23">
        <f>IF(E17&gt;12%,Input!$B$66*'P&amp;L'!E16,0)</f>
        <v>2720000.7996000005</v>
      </c>
      <c r="F18" s="23">
        <f>IF(F17&gt;12%,Input!$B$66*'P&amp;L'!F16,0)</f>
        <v>4077937.5972064808</v>
      </c>
      <c r="G18" s="23">
        <f>IF(G17&gt;12%,Input!$B$66*'P&amp;L'!G16,0)</f>
        <v>5406311.6178774089</v>
      </c>
      <c r="H18" s="23">
        <f>IF(H17&gt;12%,Input!$B$66*'P&amp;L'!H16,0)</f>
        <v>6817111.5988600785</v>
      </c>
    </row>
    <row r="19" spans="1:8" x14ac:dyDescent="0.3">
      <c r="A19" s="47" t="s">
        <v>103</v>
      </c>
      <c r="B19" s="48" t="s">
        <v>31</v>
      </c>
      <c r="C19" s="47"/>
      <c r="D19" s="49">
        <f>D16-D18</f>
        <v>3147480</v>
      </c>
      <c r="E19" s="49">
        <f>E16-E18</f>
        <v>5051430.056400001</v>
      </c>
      <c r="F19" s="49">
        <f>F16-F18</f>
        <v>7573312.6805263218</v>
      </c>
      <c r="G19" s="49">
        <f>G16-G18</f>
        <v>10040293.004629474</v>
      </c>
      <c r="H19" s="49">
        <f>H16-H18</f>
        <v>12660350.112168718</v>
      </c>
    </row>
  </sheetData>
  <pageMargins left="0.7" right="0.7" top="0.75" bottom="0.75" header="0.3" footer="0.3"/>
  <ignoredErrors>
    <ignoredError sqref="E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F8A4-CBE2-463D-A6DA-6C7A2B38DB8C}">
  <dimension ref="A1:H66"/>
  <sheetViews>
    <sheetView showGridLines="0"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3" sqref="E13"/>
    </sheetView>
  </sheetViews>
  <sheetFormatPr defaultRowHeight="14.4" x14ac:dyDescent="0.3"/>
  <cols>
    <col min="1" max="1" width="30.6640625" customWidth="1"/>
    <col min="4" max="4" width="13" style="22" customWidth="1"/>
    <col min="5" max="5" width="13.44140625" style="22" bestFit="1" customWidth="1"/>
    <col min="6" max="6" width="12.5546875" style="22" customWidth="1"/>
    <col min="7" max="7" width="13.33203125" style="22" customWidth="1"/>
    <col min="8" max="8" width="13.44140625" style="22" bestFit="1" customWidth="1"/>
  </cols>
  <sheetData>
    <row r="1" spans="1:8" x14ac:dyDescent="0.3">
      <c r="A1" s="18" t="s">
        <v>72</v>
      </c>
      <c r="B1" s="18"/>
      <c r="C1" s="19">
        <v>0</v>
      </c>
      <c r="D1" s="19">
        <f>C1+1</f>
        <v>1</v>
      </c>
      <c r="E1" s="19">
        <f>D1+1</f>
        <v>2</v>
      </c>
      <c r="F1" s="19">
        <f t="shared" ref="F1:G1" si="0">E1+1</f>
        <v>3</v>
      </c>
      <c r="G1" s="19">
        <f t="shared" si="0"/>
        <v>4</v>
      </c>
      <c r="H1" s="19">
        <f>G1+1</f>
        <v>5</v>
      </c>
    </row>
    <row r="2" spans="1:8" x14ac:dyDescent="0.3">
      <c r="A2" s="18" t="s">
        <v>73</v>
      </c>
      <c r="B2" s="18"/>
      <c r="C2" s="18"/>
      <c r="D2" s="21">
        <f>EOMONTH(Input!B2,11)</f>
        <v>45382</v>
      </c>
      <c r="E2" s="21">
        <f>EOMONTH(D2,12)</f>
        <v>45747</v>
      </c>
      <c r="F2" s="21">
        <f t="shared" ref="F2:G2" si="1">EOMONTH(E2,12)</f>
        <v>46112</v>
      </c>
      <c r="G2" s="21">
        <f t="shared" si="1"/>
        <v>46477</v>
      </c>
      <c r="H2" s="21">
        <f>EOMONTH(G2,12)</f>
        <v>46843</v>
      </c>
    </row>
    <row r="3" spans="1:8" s="2" customFormat="1" x14ac:dyDescent="0.3">
      <c r="A3" s="2" t="s">
        <v>59</v>
      </c>
      <c r="D3" s="25"/>
      <c r="E3" s="25"/>
      <c r="F3" s="25"/>
      <c r="G3" s="25"/>
      <c r="H3" s="25"/>
    </row>
    <row r="4" spans="1:8" x14ac:dyDescent="0.3">
      <c r="A4" t="s">
        <v>104</v>
      </c>
      <c r="B4" t="s">
        <v>31</v>
      </c>
      <c r="D4" s="23">
        <f>C7</f>
        <v>0</v>
      </c>
      <c r="E4" s="23">
        <f>D7</f>
        <v>1500000</v>
      </c>
      <c r="F4" s="23">
        <f>E7</f>
        <v>1500000</v>
      </c>
      <c r="G4" s="23">
        <f>F7</f>
        <v>2000000</v>
      </c>
      <c r="H4" s="23">
        <f>G7</f>
        <v>2000000</v>
      </c>
    </row>
    <row r="5" spans="1:8" x14ac:dyDescent="0.3">
      <c r="A5" t="s">
        <v>105</v>
      </c>
      <c r="B5" t="s">
        <v>31</v>
      </c>
      <c r="D5" s="23">
        <f>Input!B45</f>
        <v>1500000</v>
      </c>
      <c r="E5" s="23">
        <v>0</v>
      </c>
      <c r="F5" s="23">
        <f>Input!$B$46</f>
        <v>500000</v>
      </c>
      <c r="G5" s="23"/>
      <c r="H5" s="23"/>
    </row>
    <row r="6" spans="1:8" x14ac:dyDescent="0.3">
      <c r="A6" t="s">
        <v>106</v>
      </c>
      <c r="B6" t="s">
        <v>31</v>
      </c>
      <c r="D6" s="23">
        <v>0</v>
      </c>
      <c r="E6" s="23">
        <v>0</v>
      </c>
      <c r="F6" s="23"/>
      <c r="G6" s="23"/>
      <c r="H6" s="23"/>
    </row>
    <row r="7" spans="1:8" s="2" customFormat="1" x14ac:dyDescent="0.3">
      <c r="A7" s="2" t="s">
        <v>107</v>
      </c>
      <c r="B7" s="2" t="s">
        <v>31</v>
      </c>
      <c r="D7" s="25">
        <f>D4+D5-D6</f>
        <v>1500000</v>
      </c>
      <c r="E7" s="25">
        <f>E4+E5-E6</f>
        <v>1500000</v>
      </c>
      <c r="F7" s="25">
        <f>F4+F5-F6</f>
        <v>2000000</v>
      </c>
      <c r="G7" s="25">
        <f t="shared" ref="G7:H7" si="2">G4+G5-G6</f>
        <v>2000000</v>
      </c>
      <c r="H7" s="25">
        <f t="shared" si="2"/>
        <v>2000000</v>
      </c>
    </row>
    <row r="8" spans="1:8" x14ac:dyDescent="0.3">
      <c r="A8" t="s">
        <v>174</v>
      </c>
      <c r="B8" t="s">
        <v>31</v>
      </c>
      <c r="D8" s="23">
        <f>D7*Input!$B$47</f>
        <v>225000</v>
      </c>
      <c r="E8" s="23">
        <f>E7*Input!$B$47+D8</f>
        <v>450000</v>
      </c>
      <c r="F8" s="23">
        <f>F7*Input!$B$47+E8</f>
        <v>750000</v>
      </c>
      <c r="G8" s="23">
        <f>G7*Input!$B$47+F8</f>
        <v>1050000</v>
      </c>
      <c r="H8" s="23">
        <f>H7*Input!$B$47+G8</f>
        <v>1350000</v>
      </c>
    </row>
    <row r="9" spans="1:8" s="2" customFormat="1" x14ac:dyDescent="0.3">
      <c r="A9" s="2" t="s">
        <v>108</v>
      </c>
      <c r="B9" s="2" t="s">
        <v>31</v>
      </c>
      <c r="D9" s="25">
        <f>D7-D8</f>
        <v>1275000</v>
      </c>
      <c r="E9" s="25">
        <f>E7-E8</f>
        <v>1050000</v>
      </c>
      <c r="F9" s="25">
        <f>F7-F8</f>
        <v>1250000</v>
      </c>
      <c r="G9" s="25">
        <f t="shared" ref="G9:H9" si="3">G7-G8</f>
        <v>950000</v>
      </c>
      <c r="H9" s="25">
        <f t="shared" si="3"/>
        <v>650000</v>
      </c>
    </row>
    <row r="10" spans="1:8" x14ac:dyDescent="0.3">
      <c r="A10" t="s">
        <v>173</v>
      </c>
      <c r="D10" s="23">
        <f>D8-C8</f>
        <v>225000</v>
      </c>
      <c r="E10" s="23">
        <f>E8-D8</f>
        <v>225000</v>
      </c>
      <c r="F10" s="23">
        <f t="shared" ref="F10:H10" si="4">F8-E8</f>
        <v>300000</v>
      </c>
      <c r="G10" s="23">
        <f t="shared" si="4"/>
        <v>300000</v>
      </c>
      <c r="H10" s="23">
        <f t="shared" si="4"/>
        <v>300000</v>
      </c>
    </row>
    <row r="11" spans="1:8" x14ac:dyDescent="0.3">
      <c r="D11" s="23"/>
      <c r="E11" s="23"/>
      <c r="F11" s="23"/>
      <c r="G11" s="23"/>
      <c r="H11" s="23"/>
    </row>
    <row r="12" spans="1:8" x14ac:dyDescent="0.3">
      <c r="A12" s="2" t="s">
        <v>60</v>
      </c>
      <c r="B12" s="2"/>
      <c r="C12" s="2"/>
      <c r="D12" s="25"/>
      <c r="E12" s="25"/>
      <c r="F12" s="25"/>
      <c r="G12" s="25"/>
      <c r="H12" s="25"/>
    </row>
    <row r="13" spans="1:8" x14ac:dyDescent="0.3">
      <c r="A13" t="s">
        <v>104</v>
      </c>
      <c r="B13" t="s">
        <v>31</v>
      </c>
      <c r="D13" s="23">
        <f>C16</f>
        <v>0</v>
      </c>
      <c r="E13" s="23">
        <f>D16</f>
        <v>200000</v>
      </c>
      <c r="F13" s="23">
        <f>E16</f>
        <v>200000</v>
      </c>
      <c r="G13" s="23">
        <f t="shared" ref="G13:H13" si="5">F16</f>
        <v>200000</v>
      </c>
      <c r="H13" s="23">
        <f t="shared" si="5"/>
        <v>200000</v>
      </c>
    </row>
    <row r="14" spans="1:8" x14ac:dyDescent="0.3">
      <c r="A14" t="s">
        <v>105</v>
      </c>
      <c r="B14" t="s">
        <v>31</v>
      </c>
      <c r="D14" s="23">
        <f>Input!$B$50</f>
        <v>200000</v>
      </c>
      <c r="E14" s="23">
        <v>0</v>
      </c>
      <c r="F14" s="23">
        <v>0</v>
      </c>
      <c r="G14" s="23"/>
      <c r="H14" s="23"/>
    </row>
    <row r="15" spans="1:8" x14ac:dyDescent="0.3">
      <c r="A15" t="s">
        <v>106</v>
      </c>
      <c r="B15" t="s">
        <v>31</v>
      </c>
      <c r="D15" s="23">
        <v>0</v>
      </c>
      <c r="E15" s="23">
        <v>0</v>
      </c>
      <c r="F15" s="23"/>
      <c r="G15" s="23"/>
      <c r="H15" s="23"/>
    </row>
    <row r="16" spans="1:8" x14ac:dyDescent="0.3">
      <c r="A16" s="2" t="s">
        <v>107</v>
      </c>
      <c r="B16" s="2" t="s">
        <v>31</v>
      </c>
      <c r="C16" s="2"/>
      <c r="D16" s="25">
        <f>D13+D14-D15</f>
        <v>200000</v>
      </c>
      <c r="E16" s="25">
        <f>E13+E14-E15</f>
        <v>200000</v>
      </c>
      <c r="F16" s="25">
        <f>F13+F14-F15</f>
        <v>200000</v>
      </c>
      <c r="G16" s="25">
        <f t="shared" ref="G16" si="6">G13+G14-G15</f>
        <v>200000</v>
      </c>
      <c r="H16" s="25">
        <f t="shared" ref="H16" si="7">H13+H14-H15</f>
        <v>200000</v>
      </c>
    </row>
    <row r="17" spans="1:8" x14ac:dyDescent="0.3">
      <c r="A17" t="s">
        <v>174</v>
      </c>
      <c r="B17" t="s">
        <v>31</v>
      </c>
      <c r="D17" s="23">
        <f>D16*Input!$B$51+C17</f>
        <v>20000</v>
      </c>
      <c r="E17" s="23">
        <f>E16*Input!$B$51+D17</f>
        <v>40000</v>
      </c>
      <c r="F17" s="23">
        <f>F16*Input!$B$51+E17</f>
        <v>60000</v>
      </c>
      <c r="G17" s="23">
        <f>G16*Input!$B$51+F17</f>
        <v>80000</v>
      </c>
      <c r="H17" s="23">
        <f>H16*Input!$B$51+G17</f>
        <v>100000</v>
      </c>
    </row>
    <row r="18" spans="1:8" x14ac:dyDescent="0.3">
      <c r="A18" s="2" t="s">
        <v>108</v>
      </c>
      <c r="B18" s="2" t="s">
        <v>31</v>
      </c>
      <c r="C18" s="2"/>
      <c r="D18" s="25">
        <f>D16-D17</f>
        <v>180000</v>
      </c>
      <c r="E18" s="25">
        <f>E16-E17</f>
        <v>160000</v>
      </c>
      <c r="F18" s="25">
        <f>F16-F17</f>
        <v>140000</v>
      </c>
      <c r="G18" s="25">
        <f t="shared" ref="G18" si="8">G16-G17</f>
        <v>120000</v>
      </c>
      <c r="H18" s="25">
        <f t="shared" ref="H18" si="9">H16-H17</f>
        <v>100000</v>
      </c>
    </row>
    <row r="19" spans="1:8" x14ac:dyDescent="0.3">
      <c r="A19" t="s">
        <v>173</v>
      </c>
      <c r="D19" s="23">
        <f>D17-C17</f>
        <v>20000</v>
      </c>
      <c r="E19" s="23">
        <f t="shared" ref="E19:H19" si="10">E17-D17</f>
        <v>20000</v>
      </c>
      <c r="F19" s="23">
        <f t="shared" si="10"/>
        <v>20000</v>
      </c>
      <c r="G19" s="23">
        <f t="shared" si="10"/>
        <v>20000</v>
      </c>
      <c r="H19" s="23">
        <f t="shared" si="10"/>
        <v>20000</v>
      </c>
    </row>
    <row r="20" spans="1:8" x14ac:dyDescent="0.3">
      <c r="D20" s="23"/>
      <c r="E20" s="23"/>
      <c r="F20" s="23"/>
      <c r="G20" s="23"/>
      <c r="H20" s="23"/>
    </row>
    <row r="21" spans="1:8" x14ac:dyDescent="0.3">
      <c r="A21" s="2" t="s">
        <v>61</v>
      </c>
      <c r="B21" s="2"/>
      <c r="C21" s="2"/>
      <c r="D21" s="25"/>
      <c r="E21" s="25"/>
      <c r="F21" s="25"/>
      <c r="G21" s="25"/>
      <c r="H21" s="25"/>
    </row>
    <row r="22" spans="1:8" x14ac:dyDescent="0.3">
      <c r="A22" t="s">
        <v>104</v>
      </c>
      <c r="B22" t="s">
        <v>31</v>
      </c>
      <c r="D22" s="23">
        <f>C25</f>
        <v>0</v>
      </c>
      <c r="E22" s="23">
        <f>D25</f>
        <v>800000</v>
      </c>
      <c r="F22" s="23">
        <f>E25</f>
        <v>800000</v>
      </c>
      <c r="G22" s="23">
        <f t="shared" ref="G22:H22" si="11">F25</f>
        <v>800000</v>
      </c>
      <c r="H22" s="23">
        <f t="shared" si="11"/>
        <v>800000</v>
      </c>
    </row>
    <row r="23" spans="1:8" x14ac:dyDescent="0.3">
      <c r="A23" t="s">
        <v>105</v>
      </c>
      <c r="B23" t="s">
        <v>31</v>
      </c>
      <c r="D23" s="23">
        <f>Input!$B$54</f>
        <v>800000</v>
      </c>
      <c r="E23" s="23">
        <v>0</v>
      </c>
      <c r="F23" s="23">
        <v>0</v>
      </c>
      <c r="G23" s="23"/>
      <c r="H23" s="23"/>
    </row>
    <row r="24" spans="1:8" x14ac:dyDescent="0.3">
      <c r="A24" t="s">
        <v>106</v>
      </c>
      <c r="B24" t="s">
        <v>31</v>
      </c>
      <c r="D24" s="23">
        <v>0</v>
      </c>
      <c r="E24" s="23">
        <v>0</v>
      </c>
      <c r="F24" s="23"/>
      <c r="G24" s="23"/>
      <c r="H24" s="23"/>
    </row>
    <row r="25" spans="1:8" x14ac:dyDescent="0.3">
      <c r="A25" s="2" t="s">
        <v>107</v>
      </c>
      <c r="B25" s="2" t="s">
        <v>31</v>
      </c>
      <c r="C25" s="2"/>
      <c r="D25" s="25">
        <f>D22+D23-D24</f>
        <v>800000</v>
      </c>
      <c r="E25" s="25">
        <f>E22+E23-E24</f>
        <v>800000</v>
      </c>
      <c r="F25" s="25">
        <f>F22+F23-F24</f>
        <v>800000</v>
      </c>
      <c r="G25" s="25">
        <f t="shared" ref="G25" si="12">G22+G23-G24</f>
        <v>800000</v>
      </c>
      <c r="H25" s="25">
        <f t="shared" ref="H25" si="13">H22+H23-H24</f>
        <v>800000</v>
      </c>
    </row>
    <row r="26" spans="1:8" x14ac:dyDescent="0.3">
      <c r="A26" t="s">
        <v>174</v>
      </c>
      <c r="B26" t="s">
        <v>31</v>
      </c>
      <c r="D26" s="23">
        <f>D25*Input!$B$55+C26</f>
        <v>0</v>
      </c>
      <c r="E26" s="23">
        <f>E25*Input!$B$55+D26</f>
        <v>0</v>
      </c>
      <c r="F26" s="23">
        <f>F25*Input!$B$55+E26</f>
        <v>0</v>
      </c>
      <c r="G26" s="23">
        <f>G25*Input!$B$55+F26</f>
        <v>0</v>
      </c>
      <c r="H26" s="23">
        <f>H25*Input!$B$55+G26</f>
        <v>0</v>
      </c>
    </row>
    <row r="27" spans="1:8" x14ac:dyDescent="0.3">
      <c r="A27" s="2" t="s">
        <v>108</v>
      </c>
      <c r="B27" s="2" t="s">
        <v>31</v>
      </c>
      <c r="C27" s="2"/>
      <c r="D27" s="25">
        <f>D25-D26</f>
        <v>800000</v>
      </c>
      <c r="E27" s="25">
        <f>E25-E26</f>
        <v>800000</v>
      </c>
      <c r="F27" s="25">
        <f>F25-F26</f>
        <v>800000</v>
      </c>
      <c r="G27" s="25">
        <f t="shared" ref="G27" si="14">G25-G26</f>
        <v>800000</v>
      </c>
      <c r="H27" s="25">
        <f t="shared" ref="H27" si="15">H25-H26</f>
        <v>800000</v>
      </c>
    </row>
    <row r="28" spans="1:8" x14ac:dyDescent="0.3">
      <c r="A28" t="s">
        <v>173</v>
      </c>
      <c r="D28" s="23">
        <f>D26-C26</f>
        <v>0</v>
      </c>
      <c r="E28" s="23">
        <f t="shared" ref="E28:H28" si="16">E26-D26</f>
        <v>0</v>
      </c>
      <c r="F28" s="23">
        <f t="shared" si="16"/>
        <v>0</v>
      </c>
      <c r="G28" s="23">
        <f t="shared" si="16"/>
        <v>0</v>
      </c>
      <c r="H28" s="23">
        <f t="shared" si="16"/>
        <v>0</v>
      </c>
    </row>
    <row r="29" spans="1:8" x14ac:dyDescent="0.3">
      <c r="D29" s="23"/>
      <c r="E29" s="23"/>
      <c r="F29" s="23"/>
      <c r="G29" s="23"/>
      <c r="H29" s="23"/>
    </row>
    <row r="30" spans="1:8" x14ac:dyDescent="0.3">
      <c r="D30" s="23"/>
      <c r="E30" s="23"/>
      <c r="F30" s="23"/>
      <c r="G30" s="23"/>
      <c r="H30" s="23"/>
    </row>
    <row r="31" spans="1:8" x14ac:dyDescent="0.3">
      <c r="D31" s="23"/>
      <c r="E31" s="23"/>
      <c r="F31" s="23"/>
      <c r="G31" s="23"/>
      <c r="H31" s="23"/>
    </row>
    <row r="32" spans="1:8" x14ac:dyDescent="0.3">
      <c r="D32" s="23"/>
      <c r="E32" s="23"/>
      <c r="F32" s="23"/>
      <c r="G32" s="23"/>
      <c r="H32" s="23"/>
    </row>
    <row r="33" spans="4:8" x14ac:dyDescent="0.3">
      <c r="D33" s="23"/>
      <c r="E33" s="23"/>
      <c r="F33" s="23"/>
      <c r="G33" s="23"/>
      <c r="H33" s="23"/>
    </row>
    <row r="34" spans="4:8" x14ac:dyDescent="0.3">
      <c r="D34" s="23"/>
      <c r="E34" s="23"/>
      <c r="F34" s="23"/>
      <c r="G34" s="23"/>
      <c r="H34" s="23"/>
    </row>
    <row r="35" spans="4:8" x14ac:dyDescent="0.3">
      <c r="D35" s="23"/>
      <c r="E35" s="23"/>
      <c r="F35" s="23"/>
      <c r="G35" s="23"/>
      <c r="H35" s="23"/>
    </row>
    <row r="36" spans="4:8" x14ac:dyDescent="0.3">
      <c r="D36" s="23"/>
      <c r="E36" s="23"/>
      <c r="F36" s="23"/>
      <c r="G36" s="23"/>
      <c r="H36" s="23"/>
    </row>
    <row r="37" spans="4:8" x14ac:dyDescent="0.3">
      <c r="D37" s="23"/>
      <c r="E37" s="23"/>
      <c r="F37" s="23"/>
      <c r="G37" s="23"/>
      <c r="H37" s="23"/>
    </row>
    <row r="38" spans="4:8" x14ac:dyDescent="0.3">
      <c r="D38" s="23"/>
      <c r="E38" s="23"/>
      <c r="F38" s="23"/>
      <c r="G38" s="23"/>
      <c r="H38" s="23"/>
    </row>
    <row r="39" spans="4:8" x14ac:dyDescent="0.3">
      <c r="D39" s="23"/>
      <c r="E39" s="23"/>
      <c r="F39" s="23"/>
      <c r="G39" s="23"/>
      <c r="H39" s="23"/>
    </row>
    <row r="40" spans="4:8" x14ac:dyDescent="0.3">
      <c r="D40" s="23"/>
      <c r="E40" s="23"/>
      <c r="F40" s="23"/>
      <c r="G40" s="23"/>
      <c r="H40" s="23"/>
    </row>
    <row r="41" spans="4:8" x14ac:dyDescent="0.3">
      <c r="D41" s="23"/>
      <c r="E41" s="23"/>
      <c r="F41" s="23"/>
      <c r="G41" s="23"/>
      <c r="H41" s="23"/>
    </row>
    <row r="42" spans="4:8" x14ac:dyDescent="0.3">
      <c r="D42" s="23"/>
      <c r="E42" s="23"/>
      <c r="F42" s="23"/>
      <c r="G42" s="23"/>
      <c r="H42" s="23"/>
    </row>
    <row r="43" spans="4:8" x14ac:dyDescent="0.3">
      <c r="D43" s="23"/>
      <c r="E43" s="23"/>
      <c r="F43" s="23"/>
      <c r="G43" s="23"/>
      <c r="H43" s="23"/>
    </row>
    <row r="44" spans="4:8" x14ac:dyDescent="0.3">
      <c r="D44" s="23"/>
      <c r="E44" s="23"/>
      <c r="F44" s="23"/>
      <c r="G44" s="23"/>
      <c r="H44" s="23"/>
    </row>
    <row r="45" spans="4:8" x14ac:dyDescent="0.3">
      <c r="D45" s="23"/>
      <c r="E45" s="23"/>
      <c r="F45" s="23"/>
      <c r="G45" s="23"/>
      <c r="H45" s="23"/>
    </row>
    <row r="46" spans="4:8" x14ac:dyDescent="0.3">
      <c r="D46" s="23"/>
      <c r="E46" s="23"/>
      <c r="F46" s="23"/>
      <c r="G46" s="23"/>
      <c r="H46" s="23"/>
    </row>
    <row r="47" spans="4:8" x14ac:dyDescent="0.3">
      <c r="D47" s="23"/>
      <c r="E47" s="23"/>
      <c r="F47" s="23"/>
      <c r="G47" s="23"/>
      <c r="H47" s="23"/>
    </row>
    <row r="48" spans="4:8" x14ac:dyDescent="0.3">
      <c r="D48" s="23"/>
      <c r="E48" s="23"/>
      <c r="F48" s="23"/>
      <c r="G48" s="23"/>
      <c r="H48" s="23"/>
    </row>
    <row r="49" spans="4:8" x14ac:dyDescent="0.3">
      <c r="D49" s="23"/>
      <c r="E49" s="23"/>
      <c r="F49" s="23"/>
      <c r="G49" s="23"/>
      <c r="H49" s="23"/>
    </row>
    <row r="50" spans="4:8" x14ac:dyDescent="0.3">
      <c r="D50" s="23"/>
      <c r="E50" s="23"/>
      <c r="F50" s="23"/>
      <c r="G50" s="23"/>
      <c r="H50" s="23"/>
    </row>
    <row r="51" spans="4:8" x14ac:dyDescent="0.3">
      <c r="D51" s="23"/>
      <c r="E51" s="23"/>
      <c r="F51" s="23"/>
      <c r="G51" s="23"/>
      <c r="H51" s="23"/>
    </row>
    <row r="52" spans="4:8" x14ac:dyDescent="0.3">
      <c r="D52" s="23"/>
      <c r="E52" s="23"/>
      <c r="F52" s="23"/>
      <c r="G52" s="23"/>
      <c r="H52" s="23"/>
    </row>
    <row r="53" spans="4:8" x14ac:dyDescent="0.3">
      <c r="D53" s="23"/>
      <c r="E53" s="23"/>
      <c r="F53" s="23"/>
      <c r="G53" s="23"/>
      <c r="H53" s="23"/>
    </row>
    <row r="54" spans="4:8" x14ac:dyDescent="0.3">
      <c r="D54" s="23"/>
      <c r="E54" s="23"/>
      <c r="F54" s="23"/>
      <c r="G54" s="23"/>
      <c r="H54" s="23"/>
    </row>
    <row r="55" spans="4:8" x14ac:dyDescent="0.3">
      <c r="D55" s="23"/>
      <c r="E55" s="23"/>
      <c r="F55" s="23"/>
      <c r="G55" s="23"/>
      <c r="H55" s="23"/>
    </row>
    <row r="56" spans="4:8" x14ac:dyDescent="0.3">
      <c r="D56" s="23"/>
      <c r="E56" s="23"/>
      <c r="F56" s="23"/>
      <c r="G56" s="23"/>
      <c r="H56" s="23"/>
    </row>
    <row r="57" spans="4:8" x14ac:dyDescent="0.3">
      <c r="D57" s="23"/>
      <c r="E57" s="23"/>
      <c r="F57" s="23"/>
      <c r="G57" s="23"/>
      <c r="H57" s="23"/>
    </row>
    <row r="58" spans="4:8" x14ac:dyDescent="0.3">
      <c r="D58" s="23"/>
      <c r="E58" s="23"/>
      <c r="F58" s="23"/>
      <c r="G58" s="23"/>
      <c r="H58" s="23"/>
    </row>
    <row r="59" spans="4:8" x14ac:dyDescent="0.3">
      <c r="D59" s="23"/>
      <c r="E59" s="23"/>
      <c r="F59" s="23"/>
      <c r="G59" s="23"/>
      <c r="H59" s="23"/>
    </row>
    <row r="60" spans="4:8" x14ac:dyDescent="0.3">
      <c r="D60" s="23"/>
      <c r="E60" s="23"/>
      <c r="F60" s="23"/>
      <c r="G60" s="23"/>
      <c r="H60" s="23"/>
    </row>
    <row r="61" spans="4:8" x14ac:dyDescent="0.3">
      <c r="D61" s="23"/>
      <c r="E61" s="23"/>
      <c r="F61" s="23"/>
      <c r="G61" s="23"/>
      <c r="H61" s="23"/>
    </row>
    <row r="62" spans="4:8" x14ac:dyDescent="0.3">
      <c r="D62" s="23"/>
      <c r="E62" s="23"/>
      <c r="F62" s="23"/>
      <c r="G62" s="23"/>
      <c r="H62" s="23"/>
    </row>
    <row r="63" spans="4:8" x14ac:dyDescent="0.3">
      <c r="D63" s="23"/>
      <c r="E63" s="23"/>
      <c r="F63" s="23"/>
      <c r="G63" s="23"/>
      <c r="H63" s="23"/>
    </row>
    <row r="64" spans="4:8" x14ac:dyDescent="0.3">
      <c r="D64" s="23"/>
      <c r="E64" s="23"/>
      <c r="F64" s="23"/>
      <c r="G64" s="23"/>
      <c r="H64" s="23"/>
    </row>
    <row r="65" spans="4:8" x14ac:dyDescent="0.3">
      <c r="D65" s="23"/>
      <c r="E65" s="23"/>
      <c r="F65" s="23"/>
      <c r="G65" s="23"/>
      <c r="H65" s="23"/>
    </row>
    <row r="66" spans="4:8" x14ac:dyDescent="0.3">
      <c r="D66" s="23"/>
      <c r="E66" s="23"/>
      <c r="F66" s="23"/>
      <c r="G66" s="23"/>
      <c r="H66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5563-6625-4051-817A-3997EEFCCC83}">
  <dimension ref="A1:H175"/>
  <sheetViews>
    <sheetView showGridLines="0" zoomScale="130" zoomScaleNormal="130" workbookViewId="0">
      <selection activeCell="D4" sqref="D4"/>
    </sheetView>
  </sheetViews>
  <sheetFormatPr defaultRowHeight="14.4" x14ac:dyDescent="0.3"/>
  <cols>
    <col min="1" max="1" width="30.6640625" customWidth="1"/>
    <col min="4" max="4" width="13" style="22" customWidth="1"/>
    <col min="5" max="5" width="12" style="22" customWidth="1"/>
    <col min="6" max="6" width="12.5546875" style="22" customWidth="1"/>
    <col min="7" max="7" width="13.33203125" style="22" customWidth="1"/>
    <col min="8" max="8" width="11.88671875" style="22" customWidth="1"/>
  </cols>
  <sheetData>
    <row r="1" spans="1:8" x14ac:dyDescent="0.3">
      <c r="A1" s="18" t="s">
        <v>72</v>
      </c>
      <c r="B1" s="18"/>
      <c r="C1" s="19">
        <v>0</v>
      </c>
      <c r="D1" s="19">
        <f>C1+1</f>
        <v>1</v>
      </c>
      <c r="E1" s="19">
        <f>D1+1</f>
        <v>2</v>
      </c>
      <c r="F1" s="19">
        <f t="shared" ref="F1:G1" si="0">E1+1</f>
        <v>3</v>
      </c>
      <c r="G1" s="19">
        <f t="shared" si="0"/>
        <v>4</v>
      </c>
      <c r="H1" s="19">
        <f>G1+1</f>
        <v>5</v>
      </c>
    </row>
    <row r="2" spans="1:8" x14ac:dyDescent="0.3">
      <c r="A2" s="18" t="s">
        <v>73</v>
      </c>
      <c r="B2" s="18"/>
      <c r="C2" s="18"/>
      <c r="D2" s="21">
        <f>EOMONTH(Input!B2,11)</f>
        <v>45382</v>
      </c>
      <c r="E2" s="21">
        <f>EOMONTH(D2,12)</f>
        <v>45747</v>
      </c>
      <c r="F2" s="21">
        <f t="shared" ref="F2:G2" si="1">EOMONTH(E2,12)</f>
        <v>46112</v>
      </c>
      <c r="G2" s="21">
        <f t="shared" si="1"/>
        <v>46477</v>
      </c>
      <c r="H2" s="21">
        <f>EOMONTH(G2,12)</f>
        <v>46843</v>
      </c>
    </row>
    <row r="3" spans="1:8" x14ac:dyDescent="0.3">
      <c r="A3" t="s">
        <v>104</v>
      </c>
      <c r="C3" s="22"/>
      <c r="D3" s="23">
        <f>C6</f>
        <v>0</v>
      </c>
      <c r="E3" s="23">
        <f t="shared" ref="E3:H3" si="2">D6</f>
        <v>1500000</v>
      </c>
      <c r="F3" s="23">
        <f t="shared" si="2"/>
        <v>1125000</v>
      </c>
      <c r="G3" s="23">
        <f t="shared" si="2"/>
        <v>750000</v>
      </c>
      <c r="H3" s="23">
        <f t="shared" si="2"/>
        <v>375000</v>
      </c>
    </row>
    <row r="4" spans="1:8" x14ac:dyDescent="0.3">
      <c r="A4" t="s">
        <v>109</v>
      </c>
      <c r="C4" s="22"/>
      <c r="D4" s="23">
        <f>Input!$B$36</f>
        <v>1500000</v>
      </c>
      <c r="E4" s="23"/>
      <c r="F4" s="23"/>
      <c r="G4" s="23"/>
      <c r="H4" s="23"/>
    </row>
    <row r="5" spans="1:8" x14ac:dyDescent="0.3">
      <c r="A5" t="s">
        <v>110</v>
      </c>
      <c r="C5" s="22"/>
      <c r="D5" s="23">
        <f>IF(AND(COUNT($D$1:D1)&gt;Input!$B$40,COUNT($D$1:D1)&lt;=5),Input!$B$36/Input!$B$41,0)</f>
        <v>0</v>
      </c>
      <c r="E5" s="23">
        <f>IF(AND(COUNT($D$1:E1)&gt;Input!$B$40,COUNT($D$1:E1)&lt;=5),Input!$B$36/Input!$B$41,0)</f>
        <v>375000</v>
      </c>
      <c r="F5" s="23">
        <f>IF(AND(COUNT($D$1:F1)&gt;Input!$B$40,COUNT($D$1:F1)&lt;=5),Input!$B$36/Input!$B$41,0)</f>
        <v>375000</v>
      </c>
      <c r="G5" s="23">
        <f>IF(AND(COUNT($D$1:G1)&gt;Input!$B$40,COUNT($D$1:G1)&lt;=5),Input!$B$36/Input!$B$41,0)</f>
        <v>375000</v>
      </c>
      <c r="H5" s="23">
        <f>IF(AND(COUNT($D$1:H1)&gt;Input!$B$40,COUNT($D$1:H1)&lt;=5),Input!$B$36/Input!$B$41,0)</f>
        <v>375000</v>
      </c>
    </row>
    <row r="6" spans="1:8" s="2" customFormat="1" x14ac:dyDescent="0.3">
      <c r="A6" s="27" t="s">
        <v>111</v>
      </c>
      <c r="B6" s="27"/>
      <c r="C6" s="38"/>
      <c r="D6" s="28">
        <f>D3+D4-D5</f>
        <v>1500000</v>
      </c>
      <c r="E6" s="28">
        <f t="shared" ref="E6:H6" si="3">E3+E4-E5</f>
        <v>1125000</v>
      </c>
      <c r="F6" s="28">
        <f t="shared" si="3"/>
        <v>750000</v>
      </c>
      <c r="G6" s="28">
        <f t="shared" si="3"/>
        <v>375000</v>
      </c>
      <c r="H6" s="28">
        <f t="shared" si="3"/>
        <v>0</v>
      </c>
    </row>
    <row r="7" spans="1:8" x14ac:dyDescent="0.3">
      <c r="C7" s="22"/>
      <c r="D7" s="23"/>
      <c r="E7" s="23"/>
      <c r="F7" s="23"/>
      <c r="G7" s="23"/>
      <c r="H7" s="23"/>
    </row>
    <row r="8" spans="1:8" x14ac:dyDescent="0.3">
      <c r="A8" s="2" t="s">
        <v>112</v>
      </c>
      <c r="C8" s="22"/>
      <c r="D8" s="23">
        <f>D6*Input!$B$37</f>
        <v>180000</v>
      </c>
      <c r="E8" s="23">
        <f>E6*Input!$B$37</f>
        <v>135000</v>
      </c>
      <c r="F8" s="23">
        <f>F6*Input!$B$37</f>
        <v>90000</v>
      </c>
      <c r="G8" s="23">
        <f>G6*Input!$B$37</f>
        <v>45000</v>
      </c>
      <c r="H8" s="23">
        <f>H6*Input!$B$37</f>
        <v>0</v>
      </c>
    </row>
    <row r="9" spans="1:8" x14ac:dyDescent="0.3">
      <c r="A9" s="2" t="s">
        <v>113</v>
      </c>
      <c r="C9" s="22"/>
      <c r="D9" s="23">
        <f>D6*Input!$B$38</f>
        <v>225000</v>
      </c>
      <c r="E9" s="23">
        <f>E6*Input!$B$38</f>
        <v>168750</v>
      </c>
      <c r="F9" s="23">
        <f>F6*Input!$B$38</f>
        <v>112500</v>
      </c>
      <c r="G9" s="23">
        <f>G6*Input!$B$38</f>
        <v>56250</v>
      </c>
      <c r="H9" s="23">
        <f>H6*Input!$B$38</f>
        <v>0</v>
      </c>
    </row>
    <row r="10" spans="1:8" x14ac:dyDescent="0.3">
      <c r="C10" s="22"/>
    </row>
    <row r="11" spans="1:8" x14ac:dyDescent="0.3">
      <c r="A11" t="s">
        <v>114</v>
      </c>
      <c r="C11" s="22"/>
      <c r="D11" s="39">
        <f>IFERROR('P&amp;L'!D12/'Debt Schedule'!D8,"NA")</f>
        <v>26.23</v>
      </c>
      <c r="E11" s="39">
        <f>IFERROR('P&amp;L'!E12/'Debt Schedule'!E8,"NA")</f>
        <v>83.237363555555575</v>
      </c>
      <c r="F11" s="39">
        <f>IFERROR('P&amp;L'!F12/'Debt Schedule'!F8,"NA")</f>
        <v>185.94048059893336</v>
      </c>
      <c r="G11" s="39">
        <f>IFERROR('P&amp;L'!G12/'Debt Schedule'!G8,"NA")</f>
        <v>491.36840071450422</v>
      </c>
      <c r="H11" s="42" t="str">
        <f>IFERROR('P&amp;L'!H12/'Debt Schedule'!H8,"NA")</f>
        <v>NA</v>
      </c>
    </row>
    <row r="12" spans="1:8" x14ac:dyDescent="0.3">
      <c r="A12" t="s">
        <v>115</v>
      </c>
      <c r="C12" s="22"/>
    </row>
    <row r="13" spans="1:8" x14ac:dyDescent="0.3">
      <c r="C13" s="22"/>
    </row>
    <row r="14" spans="1:8" x14ac:dyDescent="0.3">
      <c r="A14" s="40"/>
      <c r="B14" s="40"/>
      <c r="C14" s="41"/>
      <c r="D14" s="41"/>
      <c r="E14" s="41"/>
      <c r="F14" s="41"/>
      <c r="G14" s="41"/>
      <c r="H14" s="41"/>
    </row>
    <row r="15" spans="1:8" x14ac:dyDescent="0.3">
      <c r="C15" s="22"/>
    </row>
    <row r="16" spans="1:8" x14ac:dyDescent="0.3">
      <c r="A16" s="2"/>
      <c r="B16" s="35"/>
      <c r="C16" s="2"/>
      <c r="D16" s="25"/>
      <c r="E16" s="25"/>
      <c r="F16" s="25"/>
      <c r="G16" s="25"/>
      <c r="H16" s="25"/>
    </row>
    <row r="17" spans="3:3" x14ac:dyDescent="0.3">
      <c r="C17" s="22"/>
    </row>
    <row r="18" spans="3:3" x14ac:dyDescent="0.3">
      <c r="C18" s="22"/>
    </row>
    <row r="19" spans="3:3" x14ac:dyDescent="0.3">
      <c r="C19" s="22"/>
    </row>
    <row r="20" spans="3:3" x14ac:dyDescent="0.3">
      <c r="C20" s="22"/>
    </row>
    <row r="21" spans="3:3" x14ac:dyDescent="0.3">
      <c r="C21" s="22"/>
    </row>
    <row r="22" spans="3:3" x14ac:dyDescent="0.3">
      <c r="C22" s="22"/>
    </row>
    <row r="23" spans="3:3" x14ac:dyDescent="0.3">
      <c r="C23" s="22"/>
    </row>
    <row r="24" spans="3:3" x14ac:dyDescent="0.3">
      <c r="C24" s="22"/>
    </row>
    <row r="25" spans="3:3" x14ac:dyDescent="0.3">
      <c r="C25" s="22"/>
    </row>
    <row r="26" spans="3:3" x14ac:dyDescent="0.3">
      <c r="C26" s="22"/>
    </row>
    <row r="27" spans="3:3" x14ac:dyDescent="0.3">
      <c r="C27" s="22"/>
    </row>
    <row r="28" spans="3:3" x14ac:dyDescent="0.3">
      <c r="C28" s="22"/>
    </row>
    <row r="29" spans="3:3" x14ac:dyDescent="0.3">
      <c r="C29" s="22"/>
    </row>
    <row r="30" spans="3:3" x14ac:dyDescent="0.3">
      <c r="C30" s="22"/>
    </row>
    <row r="31" spans="3:3" x14ac:dyDescent="0.3">
      <c r="C31" s="22"/>
    </row>
    <row r="32" spans="3:3" x14ac:dyDescent="0.3">
      <c r="C32" s="22"/>
    </row>
    <row r="33" spans="3:3" x14ac:dyDescent="0.3">
      <c r="C33" s="22"/>
    </row>
    <row r="34" spans="3:3" x14ac:dyDescent="0.3">
      <c r="C34" s="22"/>
    </row>
    <row r="35" spans="3:3" x14ac:dyDescent="0.3">
      <c r="C35" s="22"/>
    </row>
    <row r="36" spans="3:3" x14ac:dyDescent="0.3">
      <c r="C36" s="22"/>
    </row>
    <row r="37" spans="3:3" x14ac:dyDescent="0.3">
      <c r="C37" s="22"/>
    </row>
    <row r="38" spans="3:3" x14ac:dyDescent="0.3">
      <c r="C38" s="22"/>
    </row>
    <row r="39" spans="3:3" x14ac:dyDescent="0.3">
      <c r="C39" s="22"/>
    </row>
    <row r="40" spans="3:3" x14ac:dyDescent="0.3">
      <c r="C40" s="22"/>
    </row>
    <row r="41" spans="3:3" x14ac:dyDescent="0.3">
      <c r="C41" s="22"/>
    </row>
    <row r="42" spans="3:3" x14ac:dyDescent="0.3">
      <c r="C42" s="22"/>
    </row>
    <row r="43" spans="3:3" x14ac:dyDescent="0.3">
      <c r="C43" s="22"/>
    </row>
    <row r="44" spans="3:3" x14ac:dyDescent="0.3">
      <c r="C44" s="22"/>
    </row>
    <row r="45" spans="3:3" x14ac:dyDescent="0.3">
      <c r="C45" s="22"/>
    </row>
    <row r="46" spans="3:3" x14ac:dyDescent="0.3">
      <c r="C46" s="22"/>
    </row>
    <row r="47" spans="3:3" x14ac:dyDescent="0.3">
      <c r="C47" s="22"/>
    </row>
    <row r="48" spans="3:3" x14ac:dyDescent="0.3">
      <c r="C48" s="22"/>
    </row>
    <row r="49" spans="3:3" x14ac:dyDescent="0.3">
      <c r="C49" s="22"/>
    </row>
    <row r="50" spans="3:3" x14ac:dyDescent="0.3">
      <c r="C50" s="22"/>
    </row>
    <row r="51" spans="3:3" x14ac:dyDescent="0.3">
      <c r="C51" s="22"/>
    </row>
    <row r="52" spans="3:3" x14ac:dyDescent="0.3">
      <c r="C52" s="22"/>
    </row>
    <row r="53" spans="3:3" x14ac:dyDescent="0.3">
      <c r="C53" s="22"/>
    </row>
    <row r="54" spans="3:3" x14ac:dyDescent="0.3">
      <c r="C54" s="22"/>
    </row>
    <row r="55" spans="3:3" x14ac:dyDescent="0.3">
      <c r="C55" s="22"/>
    </row>
    <row r="56" spans="3:3" x14ac:dyDescent="0.3">
      <c r="C56" s="22"/>
    </row>
    <row r="57" spans="3:3" x14ac:dyDescent="0.3">
      <c r="C57" s="22"/>
    </row>
    <row r="58" spans="3:3" x14ac:dyDescent="0.3">
      <c r="C58" s="22"/>
    </row>
    <row r="59" spans="3:3" x14ac:dyDescent="0.3">
      <c r="C59" s="22"/>
    </row>
    <row r="60" spans="3:3" x14ac:dyDescent="0.3">
      <c r="C60" s="22"/>
    </row>
    <row r="61" spans="3:3" x14ac:dyDescent="0.3">
      <c r="C61" s="22"/>
    </row>
    <row r="62" spans="3:3" x14ac:dyDescent="0.3">
      <c r="C62" s="22"/>
    </row>
    <row r="63" spans="3:3" x14ac:dyDescent="0.3">
      <c r="C63" s="22"/>
    </row>
    <row r="64" spans="3:3" x14ac:dyDescent="0.3">
      <c r="C64" s="22"/>
    </row>
    <row r="65" spans="3:3" x14ac:dyDescent="0.3">
      <c r="C65" s="22"/>
    </row>
    <row r="66" spans="3:3" x14ac:dyDescent="0.3">
      <c r="C66" s="22"/>
    </row>
    <row r="67" spans="3:3" x14ac:dyDescent="0.3">
      <c r="C67" s="22"/>
    </row>
    <row r="68" spans="3:3" x14ac:dyDescent="0.3">
      <c r="C68" s="22"/>
    </row>
    <row r="69" spans="3:3" x14ac:dyDescent="0.3">
      <c r="C69" s="22"/>
    </row>
    <row r="70" spans="3:3" x14ac:dyDescent="0.3">
      <c r="C70" s="22"/>
    </row>
    <row r="71" spans="3:3" x14ac:dyDescent="0.3">
      <c r="C71" s="22"/>
    </row>
    <row r="72" spans="3:3" x14ac:dyDescent="0.3">
      <c r="C72" s="22"/>
    </row>
    <row r="73" spans="3:3" x14ac:dyDescent="0.3">
      <c r="C73" s="22"/>
    </row>
    <row r="74" spans="3:3" x14ac:dyDescent="0.3">
      <c r="C74" s="22"/>
    </row>
    <row r="75" spans="3:3" x14ac:dyDescent="0.3">
      <c r="C75" s="22"/>
    </row>
    <row r="76" spans="3:3" x14ac:dyDescent="0.3">
      <c r="C76" s="22"/>
    </row>
    <row r="77" spans="3:3" x14ac:dyDescent="0.3">
      <c r="C77" s="22"/>
    </row>
    <row r="78" spans="3:3" x14ac:dyDescent="0.3">
      <c r="C78" s="22"/>
    </row>
    <row r="79" spans="3:3" x14ac:dyDescent="0.3">
      <c r="C79" s="22"/>
    </row>
    <row r="80" spans="3:3" x14ac:dyDescent="0.3">
      <c r="C80" s="22"/>
    </row>
    <row r="81" spans="3:3" x14ac:dyDescent="0.3">
      <c r="C81" s="22"/>
    </row>
    <row r="82" spans="3:3" x14ac:dyDescent="0.3">
      <c r="C82" s="22"/>
    </row>
    <row r="83" spans="3:3" x14ac:dyDescent="0.3">
      <c r="C83" s="22"/>
    </row>
    <row r="84" spans="3:3" x14ac:dyDescent="0.3">
      <c r="C84" s="22"/>
    </row>
    <row r="85" spans="3:3" x14ac:dyDescent="0.3">
      <c r="C85" s="22"/>
    </row>
    <row r="86" spans="3:3" x14ac:dyDescent="0.3">
      <c r="C86" s="22"/>
    </row>
    <row r="87" spans="3:3" x14ac:dyDescent="0.3">
      <c r="C87" s="22"/>
    </row>
    <row r="88" spans="3:3" x14ac:dyDescent="0.3">
      <c r="C88" s="22"/>
    </row>
    <row r="89" spans="3:3" x14ac:dyDescent="0.3">
      <c r="C89" s="22"/>
    </row>
    <row r="90" spans="3:3" x14ac:dyDescent="0.3">
      <c r="C90" s="22"/>
    </row>
    <row r="91" spans="3:3" x14ac:dyDescent="0.3">
      <c r="C91" s="22"/>
    </row>
    <row r="92" spans="3:3" x14ac:dyDescent="0.3">
      <c r="C92" s="22"/>
    </row>
    <row r="93" spans="3:3" x14ac:dyDescent="0.3">
      <c r="C93" s="22"/>
    </row>
    <row r="94" spans="3:3" x14ac:dyDescent="0.3">
      <c r="C94" s="22"/>
    </row>
    <row r="95" spans="3:3" x14ac:dyDescent="0.3">
      <c r="C95" s="22"/>
    </row>
    <row r="96" spans="3:3" x14ac:dyDescent="0.3">
      <c r="C96" s="22"/>
    </row>
    <row r="97" spans="3:3" x14ac:dyDescent="0.3">
      <c r="C97" s="22"/>
    </row>
    <row r="98" spans="3:3" x14ac:dyDescent="0.3">
      <c r="C98" s="22"/>
    </row>
    <row r="99" spans="3:3" x14ac:dyDescent="0.3">
      <c r="C99" s="22"/>
    </row>
    <row r="100" spans="3:3" x14ac:dyDescent="0.3">
      <c r="C100" s="22"/>
    </row>
    <row r="101" spans="3:3" x14ac:dyDescent="0.3">
      <c r="C101" s="22"/>
    </row>
    <row r="102" spans="3:3" x14ac:dyDescent="0.3">
      <c r="C102" s="22"/>
    </row>
    <row r="103" spans="3:3" x14ac:dyDescent="0.3">
      <c r="C103" s="22"/>
    </row>
    <row r="104" spans="3:3" x14ac:dyDescent="0.3">
      <c r="C104" s="22"/>
    </row>
    <row r="105" spans="3:3" x14ac:dyDescent="0.3">
      <c r="C105" s="22"/>
    </row>
    <row r="106" spans="3:3" x14ac:dyDescent="0.3">
      <c r="C106" s="22"/>
    </row>
    <row r="107" spans="3:3" x14ac:dyDescent="0.3">
      <c r="C107" s="22"/>
    </row>
    <row r="108" spans="3:3" x14ac:dyDescent="0.3">
      <c r="C108" s="22"/>
    </row>
    <row r="109" spans="3:3" x14ac:dyDescent="0.3">
      <c r="C109" s="22"/>
    </row>
    <row r="110" spans="3:3" x14ac:dyDescent="0.3">
      <c r="C110" s="22"/>
    </row>
    <row r="111" spans="3:3" x14ac:dyDescent="0.3">
      <c r="C111" s="22"/>
    </row>
    <row r="112" spans="3:3" x14ac:dyDescent="0.3">
      <c r="C112" s="22"/>
    </row>
    <row r="113" spans="3:3" x14ac:dyDescent="0.3">
      <c r="C113" s="22"/>
    </row>
    <row r="114" spans="3:3" x14ac:dyDescent="0.3">
      <c r="C114" s="22"/>
    </row>
    <row r="115" spans="3:3" x14ac:dyDescent="0.3">
      <c r="C115" s="22"/>
    </row>
    <row r="116" spans="3:3" x14ac:dyDescent="0.3">
      <c r="C116" s="22"/>
    </row>
    <row r="117" spans="3:3" x14ac:dyDescent="0.3">
      <c r="C117" s="22"/>
    </row>
    <row r="118" spans="3:3" x14ac:dyDescent="0.3">
      <c r="C118" s="22"/>
    </row>
    <row r="119" spans="3:3" x14ac:dyDescent="0.3">
      <c r="C119" s="22"/>
    </row>
    <row r="120" spans="3:3" x14ac:dyDescent="0.3">
      <c r="C120" s="22"/>
    </row>
    <row r="121" spans="3:3" x14ac:dyDescent="0.3">
      <c r="C121" s="22"/>
    </row>
    <row r="122" spans="3:3" x14ac:dyDescent="0.3">
      <c r="C122" s="22"/>
    </row>
    <row r="123" spans="3:3" x14ac:dyDescent="0.3">
      <c r="C123" s="22"/>
    </row>
    <row r="124" spans="3:3" x14ac:dyDescent="0.3">
      <c r="C124" s="22"/>
    </row>
    <row r="125" spans="3:3" x14ac:dyDescent="0.3">
      <c r="C125" s="22"/>
    </row>
    <row r="126" spans="3:3" x14ac:dyDescent="0.3">
      <c r="C126" s="22"/>
    </row>
    <row r="127" spans="3:3" x14ac:dyDescent="0.3">
      <c r="C127" s="22"/>
    </row>
    <row r="128" spans="3:3" x14ac:dyDescent="0.3">
      <c r="C128" s="22"/>
    </row>
    <row r="129" spans="3:3" x14ac:dyDescent="0.3">
      <c r="C129" s="22"/>
    </row>
    <row r="130" spans="3:3" x14ac:dyDescent="0.3">
      <c r="C130" s="22"/>
    </row>
    <row r="131" spans="3:3" x14ac:dyDescent="0.3">
      <c r="C131" s="22"/>
    </row>
    <row r="132" spans="3:3" x14ac:dyDescent="0.3">
      <c r="C132" s="22"/>
    </row>
    <row r="133" spans="3:3" x14ac:dyDescent="0.3">
      <c r="C133" s="22"/>
    </row>
    <row r="134" spans="3:3" x14ac:dyDescent="0.3">
      <c r="C134" s="22"/>
    </row>
    <row r="135" spans="3:3" x14ac:dyDescent="0.3">
      <c r="C135" s="22"/>
    </row>
    <row r="136" spans="3:3" x14ac:dyDescent="0.3">
      <c r="C136" s="22"/>
    </row>
    <row r="137" spans="3:3" x14ac:dyDescent="0.3">
      <c r="C137" s="22"/>
    </row>
    <row r="138" spans="3:3" x14ac:dyDescent="0.3">
      <c r="C138" s="22"/>
    </row>
    <row r="139" spans="3:3" x14ac:dyDescent="0.3">
      <c r="C139" s="22"/>
    </row>
    <row r="140" spans="3:3" x14ac:dyDescent="0.3">
      <c r="C140" s="22"/>
    </row>
    <row r="141" spans="3:3" x14ac:dyDescent="0.3">
      <c r="C141" s="22"/>
    </row>
    <row r="142" spans="3:3" x14ac:dyDescent="0.3">
      <c r="C142" s="22"/>
    </row>
    <row r="143" spans="3:3" x14ac:dyDescent="0.3">
      <c r="C143" s="22"/>
    </row>
    <row r="144" spans="3:3" x14ac:dyDescent="0.3">
      <c r="C144" s="22"/>
    </row>
    <row r="145" spans="3:3" x14ac:dyDescent="0.3">
      <c r="C145" s="22"/>
    </row>
    <row r="146" spans="3:3" x14ac:dyDescent="0.3">
      <c r="C146" s="22"/>
    </row>
    <row r="147" spans="3:3" x14ac:dyDescent="0.3">
      <c r="C147" s="22"/>
    </row>
    <row r="148" spans="3:3" x14ac:dyDescent="0.3">
      <c r="C148" s="22"/>
    </row>
    <row r="149" spans="3:3" x14ac:dyDescent="0.3">
      <c r="C149" s="22"/>
    </row>
    <row r="150" spans="3:3" x14ac:dyDescent="0.3">
      <c r="C150" s="22"/>
    </row>
    <row r="151" spans="3:3" x14ac:dyDescent="0.3">
      <c r="C151" s="22"/>
    </row>
    <row r="152" spans="3:3" x14ac:dyDescent="0.3">
      <c r="C152" s="22"/>
    </row>
    <row r="153" spans="3:3" x14ac:dyDescent="0.3">
      <c r="C153" s="22"/>
    </row>
    <row r="154" spans="3:3" x14ac:dyDescent="0.3">
      <c r="C154" s="22"/>
    </row>
    <row r="155" spans="3:3" x14ac:dyDescent="0.3">
      <c r="C155" s="22"/>
    </row>
    <row r="156" spans="3:3" x14ac:dyDescent="0.3">
      <c r="C156" s="22"/>
    </row>
    <row r="157" spans="3:3" x14ac:dyDescent="0.3">
      <c r="C157" s="22"/>
    </row>
    <row r="158" spans="3:3" x14ac:dyDescent="0.3">
      <c r="C158" s="22"/>
    </row>
    <row r="159" spans="3:3" x14ac:dyDescent="0.3">
      <c r="C159" s="22"/>
    </row>
    <row r="160" spans="3:3" x14ac:dyDescent="0.3">
      <c r="C160" s="22"/>
    </row>
    <row r="161" spans="3:3" x14ac:dyDescent="0.3">
      <c r="C161" s="22"/>
    </row>
    <row r="162" spans="3:3" x14ac:dyDescent="0.3">
      <c r="C162" s="22"/>
    </row>
    <row r="163" spans="3:3" x14ac:dyDescent="0.3">
      <c r="C163" s="22"/>
    </row>
    <row r="164" spans="3:3" x14ac:dyDescent="0.3">
      <c r="C164" s="22"/>
    </row>
    <row r="165" spans="3:3" x14ac:dyDescent="0.3">
      <c r="C165" s="22"/>
    </row>
    <row r="166" spans="3:3" x14ac:dyDescent="0.3">
      <c r="C166" s="22"/>
    </row>
    <row r="167" spans="3:3" x14ac:dyDescent="0.3">
      <c r="C167" s="22"/>
    </row>
    <row r="168" spans="3:3" x14ac:dyDescent="0.3">
      <c r="C168" s="22"/>
    </row>
    <row r="169" spans="3:3" x14ac:dyDescent="0.3">
      <c r="C169" s="22"/>
    </row>
    <row r="170" spans="3:3" x14ac:dyDescent="0.3">
      <c r="C170" s="22"/>
    </row>
    <row r="171" spans="3:3" x14ac:dyDescent="0.3">
      <c r="C171" s="22"/>
    </row>
    <row r="172" spans="3:3" x14ac:dyDescent="0.3">
      <c r="C172" s="22"/>
    </row>
    <row r="173" spans="3:3" x14ac:dyDescent="0.3">
      <c r="C173" s="22"/>
    </row>
    <row r="174" spans="3:3" x14ac:dyDescent="0.3">
      <c r="C174" s="22"/>
    </row>
    <row r="175" spans="3:3" x14ac:dyDescent="0.3">
      <c r="C175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1C22-BEB5-4B47-830A-4BA143E512F8}">
  <dimension ref="A1:H11"/>
  <sheetViews>
    <sheetView showGridLines="0" zoomScale="145" zoomScaleNormal="145" workbookViewId="0">
      <selection activeCell="D5" sqref="D5"/>
    </sheetView>
  </sheetViews>
  <sheetFormatPr defaultRowHeight="14.4" x14ac:dyDescent="0.3"/>
  <cols>
    <col min="1" max="1" width="30.6640625" customWidth="1"/>
    <col min="4" max="4" width="13.33203125" style="22" bestFit="1" customWidth="1"/>
    <col min="5" max="5" width="12" style="22" customWidth="1"/>
    <col min="6" max="6" width="12.5546875" style="22" customWidth="1"/>
    <col min="7" max="7" width="13.33203125" style="22" customWidth="1"/>
    <col min="8" max="8" width="11.88671875" style="22" customWidth="1"/>
  </cols>
  <sheetData>
    <row r="1" spans="1:8" x14ac:dyDescent="0.3">
      <c r="A1" s="18" t="s">
        <v>72</v>
      </c>
      <c r="B1" s="18"/>
      <c r="C1" s="19">
        <v>0</v>
      </c>
      <c r="D1" s="19">
        <f>C1+1</f>
        <v>1</v>
      </c>
      <c r="E1" s="19">
        <f>D1+1</f>
        <v>2</v>
      </c>
      <c r="F1" s="19">
        <f t="shared" ref="F1:G1" si="0">E1+1</f>
        <v>3</v>
      </c>
      <c r="G1" s="19">
        <f t="shared" si="0"/>
        <v>4</v>
      </c>
      <c r="H1" s="19">
        <f>G1+1</f>
        <v>5</v>
      </c>
    </row>
    <row r="2" spans="1:8" x14ac:dyDescent="0.3">
      <c r="A2" s="18" t="s">
        <v>73</v>
      </c>
      <c r="B2" s="18"/>
      <c r="C2" s="18"/>
      <c r="D2" s="21">
        <f>EOMONTH(Input!B2,11)</f>
        <v>45382</v>
      </c>
      <c r="E2" s="21">
        <f>EOMONTH(D2,12)</f>
        <v>45747</v>
      </c>
      <c r="F2" s="21">
        <f t="shared" ref="F2:G2" si="1">EOMONTH(E2,12)</f>
        <v>46112</v>
      </c>
      <c r="G2" s="21">
        <f t="shared" si="1"/>
        <v>46477</v>
      </c>
      <c r="H2" s="21">
        <f>EOMONTH(G2,12)</f>
        <v>46843</v>
      </c>
    </row>
    <row r="3" spans="1:8" x14ac:dyDescent="0.3">
      <c r="A3" s="2" t="s">
        <v>126</v>
      </c>
      <c r="D3" s="23"/>
    </row>
    <row r="4" spans="1:8" x14ac:dyDescent="0.3">
      <c r="A4" t="s">
        <v>135</v>
      </c>
      <c r="D4" s="23">
        <f>'P&amp;L'!D3/365*D5</f>
        <v>3787397.2602739725</v>
      </c>
      <c r="E4" s="23">
        <f>'P&amp;L'!E3/365*E5</f>
        <v>6022490.6958904108</v>
      </c>
      <c r="F4" s="23">
        <f>'P&amp;L'!F3/365*F5</f>
        <v>7422268.0088021941</v>
      </c>
      <c r="G4" s="23">
        <f>'P&amp;L'!G3/365*G5</f>
        <v>8409348.9969067257</v>
      </c>
      <c r="H4" s="23">
        <f>'P&amp;L'!H3/365*H5</f>
        <v>9206112.2282856591</v>
      </c>
    </row>
    <row r="5" spans="1:8" x14ac:dyDescent="0.3">
      <c r="A5" t="s">
        <v>138</v>
      </c>
      <c r="D5" s="23">
        <f>IF(D$1=1,Input!$B$60,MIN('Working Capital'!C5-Input!$B$61,Input!$B$60))</f>
        <v>40</v>
      </c>
      <c r="E5" s="23">
        <f>IF(E$1=1,Input!$B$60,MIN('Working Capital'!D5-Input!$B$61,Input!$B$60))</f>
        <v>38</v>
      </c>
      <c r="F5" s="23">
        <f>IF(F$1=1,Input!$B$60,MIN('Working Capital'!E5-Input!$B$61,Input!$B$60))</f>
        <v>36</v>
      </c>
      <c r="G5" s="23">
        <f>IF(G$1=1,Input!$B$60,MIN('Working Capital'!F5-Input!$B$61,Input!$B$60))</f>
        <v>34</v>
      </c>
      <c r="H5" s="23">
        <f>IF(H$1=1,Input!$B$60,MIN('Working Capital'!G5-Input!$B$61,Input!$B$60))</f>
        <v>32</v>
      </c>
    </row>
    <row r="7" spans="1:8" x14ac:dyDescent="0.3">
      <c r="A7" s="2" t="s">
        <v>119</v>
      </c>
    </row>
    <row r="8" spans="1:8" x14ac:dyDescent="0.3">
      <c r="A8" t="s">
        <v>132</v>
      </c>
      <c r="D8" s="23">
        <f>(Revenue!D22*Revenue!D6)/365*D9</f>
        <v>4923616.4383561648</v>
      </c>
      <c r="E8" s="23">
        <f>(Revenue!E22*Revenue!E6)/365*E9</f>
        <v>5746428.493150685</v>
      </c>
      <c r="F8" s="23">
        <f>(Revenue!F22*Revenue!F6)/365*F9</f>
        <v>6670529.7534246594</v>
      </c>
      <c r="G8" s="23">
        <f>(Revenue!G22*Revenue!G6)/365*G9</f>
        <v>7705557.9616438383</v>
      </c>
      <c r="H8" s="23">
        <f>(Revenue!H22*Revenue!H6)/365*H9</f>
        <v>8861939.7041095924</v>
      </c>
    </row>
    <row r="9" spans="1:8" x14ac:dyDescent="0.3">
      <c r="A9" t="s">
        <v>65</v>
      </c>
      <c r="D9" s="23">
        <f>IF(D$1=1,Input!$B$62,MAX('Working Capital'!C9+Input!$B$63))</f>
        <v>65</v>
      </c>
      <c r="E9" s="23">
        <f>IF(E$1=1,Input!$B$62,MAX('Working Capital'!D9+Input!$B$63))</f>
        <v>68</v>
      </c>
      <c r="F9" s="23">
        <f>IF(F$1=1,Input!$B$62,MAX('Working Capital'!E9+Input!$B$63))</f>
        <v>71</v>
      </c>
      <c r="G9" s="23">
        <f>IF(G$1=1,Input!$B$62,MAX('Working Capital'!F9+Input!$B$63))</f>
        <v>74</v>
      </c>
      <c r="H9" s="23">
        <f>IF(H$1=1,Input!$B$62,MAX('Working Capital'!G9+Input!$B$63))</f>
        <v>77</v>
      </c>
    </row>
    <row r="10" spans="1:8" x14ac:dyDescent="0.3">
      <c r="A10" t="s">
        <v>133</v>
      </c>
      <c r="D10" s="23">
        <f>'P&amp;L'!D9/365*'Working Capital'!D11</f>
        <v>415561.64383561641</v>
      </c>
      <c r="E10" s="23">
        <f>'P&amp;L'!E9/365*'Working Capital'!E11</f>
        <v>614857.05205479451</v>
      </c>
      <c r="F10" s="23">
        <f>'P&amp;L'!F9/365*'Working Capital'!F11</f>
        <v>766283.42995726061</v>
      </c>
      <c r="G10" s="23">
        <f>'P&amp;L'!G9/365*'Working Capital'!G11</f>
        <v>898628.14372384083</v>
      </c>
      <c r="H10" s="23">
        <f>'P&amp;L'!H9/365*'Working Capital'!H11</f>
        <v>1029097.3887442462</v>
      </c>
    </row>
    <row r="11" spans="1:8" x14ac:dyDescent="0.3">
      <c r="A11" t="s">
        <v>66</v>
      </c>
      <c r="D11" s="23">
        <f>Input!$B$64</f>
        <v>30</v>
      </c>
      <c r="E11" s="23">
        <f>Input!$B$64</f>
        <v>30</v>
      </c>
      <c r="F11" s="23">
        <f>Input!$B$64</f>
        <v>30</v>
      </c>
      <c r="G11" s="23">
        <f>Input!$B$64</f>
        <v>30</v>
      </c>
      <c r="H11" s="23">
        <f>Input!$B$64</f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FF7C-9456-456B-8969-8FCA70A4FBE2}">
  <dimension ref="A1:H39"/>
  <sheetViews>
    <sheetView showGridLines="0" tabSelected="1" zoomScale="115" zoomScaleNormal="115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D31" sqref="D31"/>
    </sheetView>
  </sheetViews>
  <sheetFormatPr defaultRowHeight="14.4" x14ac:dyDescent="0.3"/>
  <cols>
    <col min="1" max="1" width="30.6640625" customWidth="1"/>
    <col min="4" max="4" width="13.33203125" style="22" bestFit="1" customWidth="1"/>
    <col min="5" max="5" width="12.44140625" style="22" bestFit="1" customWidth="1"/>
    <col min="6" max="6" width="12.5546875" style="22" customWidth="1"/>
    <col min="7" max="7" width="13.33203125" style="22" customWidth="1"/>
    <col min="8" max="8" width="12.6640625" style="22" bestFit="1" customWidth="1"/>
  </cols>
  <sheetData>
    <row r="1" spans="1:8" x14ac:dyDescent="0.3">
      <c r="A1" s="18" t="s">
        <v>72</v>
      </c>
      <c r="B1" s="18"/>
      <c r="C1" s="19">
        <v>0</v>
      </c>
      <c r="D1" s="19">
        <f>C1+1</f>
        <v>1</v>
      </c>
      <c r="E1" s="19">
        <f>D1+1</f>
        <v>2</v>
      </c>
      <c r="F1" s="19">
        <f t="shared" ref="F1:G1" si="0">E1+1</f>
        <v>3</v>
      </c>
      <c r="G1" s="19">
        <f t="shared" si="0"/>
        <v>4</v>
      </c>
      <c r="H1" s="19">
        <f>G1+1</f>
        <v>5</v>
      </c>
    </row>
    <row r="2" spans="1:8" x14ac:dyDescent="0.3">
      <c r="A2" s="18" t="s">
        <v>73</v>
      </c>
      <c r="B2" s="18"/>
      <c r="C2" s="18"/>
      <c r="D2" s="21">
        <f>EOMONTH(Input!B2,11)</f>
        <v>45382</v>
      </c>
      <c r="E2" s="21">
        <f>EOMONTH(D2,12)</f>
        <v>45747</v>
      </c>
      <c r="F2" s="21">
        <f t="shared" ref="F2:G2" si="1">EOMONTH(E2,12)</f>
        <v>46112</v>
      </c>
      <c r="G2" s="21">
        <f t="shared" si="1"/>
        <v>46477</v>
      </c>
      <c r="H2" s="21">
        <f>EOMONTH(G2,12)</f>
        <v>46843</v>
      </c>
    </row>
    <row r="3" spans="1:8" x14ac:dyDescent="0.3">
      <c r="A3" s="2" t="s">
        <v>123</v>
      </c>
      <c r="C3" s="51"/>
      <c r="D3" s="52"/>
      <c r="E3" s="52"/>
      <c r="F3" s="52"/>
      <c r="G3" s="52"/>
      <c r="H3" s="52"/>
    </row>
    <row r="4" spans="1:8" x14ac:dyDescent="0.3">
      <c r="A4" t="s">
        <v>39</v>
      </c>
      <c r="C4" s="51"/>
      <c r="D4" s="52"/>
      <c r="E4" s="52"/>
      <c r="F4" s="52"/>
      <c r="G4" s="52"/>
      <c r="H4" s="52"/>
    </row>
    <row r="5" spans="1:8" x14ac:dyDescent="0.3">
      <c r="A5" t="s">
        <v>161</v>
      </c>
      <c r="C5" s="51"/>
      <c r="D5" s="52">
        <f>C5+'Cashflow Statement'!D34</f>
        <v>10914139.17808219</v>
      </c>
      <c r="E5" s="52">
        <f>D5+'Cashflow Statement'!E34</f>
        <v>14227011.974284932</v>
      </c>
      <c r="F5" s="52">
        <f>E5+'Cashflow Statement'!F34</f>
        <v>14227011.974284932</v>
      </c>
      <c r="G5" s="52">
        <f>F5+'Cashflow Statement'!G34</f>
        <v>14227011.974284932</v>
      </c>
      <c r="H5" s="52">
        <f>G5+'Cashflow Statement'!H34</f>
        <v>14227011.974284932</v>
      </c>
    </row>
    <row r="6" spans="1:8" x14ac:dyDescent="0.3">
      <c r="A6" t="s">
        <v>129</v>
      </c>
      <c r="C6" s="51"/>
      <c r="D6" s="52">
        <f>Input!$B$28</f>
        <v>1600000</v>
      </c>
      <c r="E6" s="52">
        <f>Input!$B$28</f>
        <v>1600000</v>
      </c>
      <c r="F6" s="52">
        <f>Input!$B$28</f>
        <v>1600000</v>
      </c>
      <c r="G6" s="52">
        <f>Input!$B$28</f>
        <v>1600000</v>
      </c>
      <c r="H6" s="52">
        <f>Input!$B$28</f>
        <v>1600000</v>
      </c>
    </row>
    <row r="7" spans="1:8" x14ac:dyDescent="0.3">
      <c r="A7" s="31" t="s">
        <v>130</v>
      </c>
      <c r="B7" s="31"/>
      <c r="C7" s="53"/>
      <c r="D7" s="54">
        <f>'P&amp;L'!D19</f>
        <v>3147480</v>
      </c>
      <c r="E7" s="54">
        <f>'P&amp;L'!E19+'Balance Sheet'!D7</f>
        <v>8198910.056400001</v>
      </c>
      <c r="F7" s="54">
        <f>'P&amp;L'!F19+'Balance Sheet'!E7</f>
        <v>15772222.736926323</v>
      </c>
      <c r="G7" s="54">
        <f>'P&amp;L'!G19+'Balance Sheet'!F7</f>
        <v>25812515.741555795</v>
      </c>
      <c r="H7" s="54">
        <f>'P&amp;L'!H19+'Balance Sheet'!G7</f>
        <v>38472865.853724509</v>
      </c>
    </row>
    <row r="8" spans="1:8" x14ac:dyDescent="0.3">
      <c r="A8" t="s">
        <v>121</v>
      </c>
      <c r="C8" s="51"/>
      <c r="D8" s="52">
        <f>SUM(D5:D7)</f>
        <v>15661619.17808219</v>
      </c>
      <c r="E8" s="52">
        <f t="shared" ref="E8:H8" si="2">SUM(E5:E7)</f>
        <v>24025922.030684933</v>
      </c>
      <c r="F8" s="52">
        <f t="shared" si="2"/>
        <v>31599234.711211257</v>
      </c>
      <c r="G8" s="52">
        <f t="shared" si="2"/>
        <v>41639527.715840727</v>
      </c>
      <c r="H8" s="52">
        <f t="shared" si="2"/>
        <v>54299877.828009441</v>
      </c>
    </row>
    <row r="9" spans="1:8" x14ac:dyDescent="0.3">
      <c r="A9" s="2" t="s">
        <v>117</v>
      </c>
      <c r="C9" s="51"/>
      <c r="D9" s="52"/>
      <c r="E9" s="52"/>
      <c r="F9" s="52"/>
      <c r="G9" s="52"/>
      <c r="H9" s="52"/>
    </row>
    <row r="10" spans="1:8" x14ac:dyDescent="0.3">
      <c r="A10" s="57" t="s">
        <v>118</v>
      </c>
      <c r="C10" s="51"/>
      <c r="D10" s="52"/>
      <c r="E10" s="52"/>
      <c r="F10" s="52"/>
      <c r="G10" s="52"/>
      <c r="H10" s="52"/>
    </row>
    <row r="11" spans="1:8" x14ac:dyDescent="0.3">
      <c r="A11" t="s">
        <v>131</v>
      </c>
      <c r="C11" s="51"/>
      <c r="D11" s="52">
        <f>'Debt Schedule'!D6</f>
        <v>1500000</v>
      </c>
      <c r="E11" s="52">
        <f>'Debt Schedule'!E6</f>
        <v>1125000</v>
      </c>
      <c r="F11" s="52">
        <f>'Debt Schedule'!F6</f>
        <v>750000</v>
      </c>
      <c r="G11" s="52">
        <f>'Debt Schedule'!G6</f>
        <v>375000</v>
      </c>
      <c r="H11" s="52">
        <f>'Debt Schedule'!H6</f>
        <v>0</v>
      </c>
    </row>
    <row r="12" spans="1:8" x14ac:dyDescent="0.3">
      <c r="C12" s="51"/>
      <c r="D12" s="52"/>
      <c r="E12" s="52"/>
      <c r="F12" s="52"/>
      <c r="G12" s="52"/>
      <c r="H12" s="52"/>
    </row>
    <row r="13" spans="1:8" x14ac:dyDescent="0.3">
      <c r="A13" s="57" t="s">
        <v>119</v>
      </c>
      <c r="C13" s="51"/>
      <c r="D13" s="52"/>
      <c r="E13" s="52"/>
      <c r="F13" s="52"/>
      <c r="G13" s="52"/>
      <c r="H13" s="52"/>
    </row>
    <row r="14" spans="1:8" x14ac:dyDescent="0.3">
      <c r="A14" t="s">
        <v>132</v>
      </c>
      <c r="C14" s="51"/>
      <c r="D14" s="52">
        <f>'Working Capital'!D8</f>
        <v>4923616.4383561648</v>
      </c>
      <c r="E14" s="52">
        <f>'Working Capital'!E8</f>
        <v>5746428.493150685</v>
      </c>
      <c r="F14" s="52">
        <f>'Working Capital'!F8</f>
        <v>6670529.7534246594</v>
      </c>
      <c r="G14" s="52">
        <f>'Working Capital'!G8</f>
        <v>7705557.9616438383</v>
      </c>
      <c r="H14" s="52">
        <f>'Working Capital'!H8</f>
        <v>8861939.7041095924</v>
      </c>
    </row>
    <row r="15" spans="1:8" x14ac:dyDescent="0.3">
      <c r="A15" t="s">
        <v>133</v>
      </c>
      <c r="C15" s="51"/>
      <c r="D15" s="52">
        <f>'Working Capital'!D10</f>
        <v>415561.64383561641</v>
      </c>
      <c r="E15" s="52">
        <f>'Working Capital'!E10</f>
        <v>614857.05205479451</v>
      </c>
      <c r="F15" s="52">
        <f>'Working Capital'!F10</f>
        <v>766283.42995726061</v>
      </c>
      <c r="G15" s="52">
        <f>'Working Capital'!G10</f>
        <v>898628.14372384083</v>
      </c>
      <c r="H15" s="52">
        <f>'Working Capital'!H10</f>
        <v>1029097.3887442462</v>
      </c>
    </row>
    <row r="16" spans="1:8" x14ac:dyDescent="0.3">
      <c r="C16" s="51"/>
      <c r="D16" s="52"/>
      <c r="E16" s="52"/>
      <c r="F16" s="52"/>
      <c r="G16" s="52"/>
      <c r="H16" s="52"/>
    </row>
    <row r="17" spans="1:8" x14ac:dyDescent="0.3">
      <c r="A17" t="s">
        <v>120</v>
      </c>
      <c r="C17" s="51"/>
      <c r="D17" s="52">
        <f>SUM(D14:D15,D11)</f>
        <v>6839178.0821917811</v>
      </c>
      <c r="E17" s="52">
        <f t="shared" ref="E17:H17" si="3">SUM(E14:E15,E11)</f>
        <v>7486285.5452054795</v>
      </c>
      <c r="F17" s="52">
        <f t="shared" si="3"/>
        <v>8186813.1833819197</v>
      </c>
      <c r="G17" s="52">
        <f t="shared" si="3"/>
        <v>8979186.1053676791</v>
      </c>
      <c r="H17" s="52">
        <f t="shared" si="3"/>
        <v>9891037.0928538386</v>
      </c>
    </row>
    <row r="18" spans="1:8" x14ac:dyDescent="0.3">
      <c r="A18" s="27" t="s">
        <v>122</v>
      </c>
      <c r="B18" s="27"/>
      <c r="C18" s="55"/>
      <c r="D18" s="56">
        <f>SUM(D17,D8)</f>
        <v>22500797.260273971</v>
      </c>
      <c r="E18" s="56">
        <f t="shared" ref="E18:H18" si="4">SUM(E17,E8)</f>
        <v>31512207.575890414</v>
      </c>
      <c r="F18" s="56">
        <f t="shared" si="4"/>
        <v>39786047.894593179</v>
      </c>
      <c r="G18" s="56">
        <f t="shared" si="4"/>
        <v>50618713.821208403</v>
      </c>
      <c r="H18" s="56">
        <f t="shared" si="4"/>
        <v>64190914.920863278</v>
      </c>
    </row>
    <row r="19" spans="1:8" x14ac:dyDescent="0.3">
      <c r="C19" s="51"/>
      <c r="D19" s="52"/>
      <c r="E19" s="52"/>
      <c r="F19" s="52"/>
      <c r="G19" s="52"/>
      <c r="H19" s="52"/>
    </row>
    <row r="20" spans="1:8" x14ac:dyDescent="0.3">
      <c r="A20" s="2" t="s">
        <v>124</v>
      </c>
      <c r="C20" s="51"/>
      <c r="D20" s="52"/>
      <c r="E20" s="52"/>
      <c r="F20" s="52"/>
      <c r="G20" s="52"/>
      <c r="H20" s="52"/>
    </row>
    <row r="21" spans="1:8" x14ac:dyDescent="0.3">
      <c r="A21" s="57" t="s">
        <v>125</v>
      </c>
      <c r="C21" s="51"/>
      <c r="D21" s="52"/>
      <c r="E21" s="52"/>
      <c r="F21" s="52"/>
      <c r="G21" s="52"/>
      <c r="H21" s="52"/>
    </row>
    <row r="22" spans="1:8" x14ac:dyDescent="0.3">
      <c r="A22" s="58" t="s">
        <v>137</v>
      </c>
      <c r="C22" s="51"/>
      <c r="D22" s="52"/>
      <c r="E22" s="52"/>
      <c r="F22" s="52"/>
      <c r="G22" s="52"/>
      <c r="H22" s="52"/>
    </row>
    <row r="23" spans="1:8" x14ac:dyDescent="0.3">
      <c r="A23" t="s">
        <v>134</v>
      </c>
      <c r="C23" s="51"/>
      <c r="D23" s="52">
        <f>'Fixed Assets'!D9</f>
        <v>1275000</v>
      </c>
      <c r="E23" s="52">
        <f>'Fixed Assets'!E9</f>
        <v>1050000</v>
      </c>
      <c r="F23" s="52">
        <f>'Fixed Assets'!F9</f>
        <v>1250000</v>
      </c>
      <c r="G23" s="52">
        <f>'Fixed Assets'!G9</f>
        <v>950000</v>
      </c>
      <c r="H23" s="52">
        <f>'Fixed Assets'!H9</f>
        <v>650000</v>
      </c>
    </row>
    <row r="24" spans="1:8" x14ac:dyDescent="0.3">
      <c r="A24" t="s">
        <v>61</v>
      </c>
      <c r="C24" s="51"/>
      <c r="D24" s="52">
        <f>'Fixed Assets'!D18</f>
        <v>180000</v>
      </c>
      <c r="E24" s="52">
        <f>'Fixed Assets'!E18</f>
        <v>160000</v>
      </c>
      <c r="F24" s="52">
        <f>'Fixed Assets'!F18</f>
        <v>140000</v>
      </c>
      <c r="G24" s="52">
        <f>'Fixed Assets'!G18</f>
        <v>120000</v>
      </c>
      <c r="H24" s="52">
        <f>'Fixed Assets'!H18</f>
        <v>100000</v>
      </c>
    </row>
    <row r="25" spans="1:8" x14ac:dyDescent="0.3">
      <c r="A25" t="s">
        <v>60</v>
      </c>
      <c r="C25" s="51"/>
      <c r="D25" s="52">
        <f>'Fixed Assets'!D27</f>
        <v>800000</v>
      </c>
      <c r="E25" s="52">
        <f>'Fixed Assets'!E27</f>
        <v>800000</v>
      </c>
      <c r="F25" s="52">
        <f>'Fixed Assets'!F27</f>
        <v>800000</v>
      </c>
      <c r="G25" s="52">
        <f>'Fixed Assets'!G27</f>
        <v>800000</v>
      </c>
      <c r="H25" s="52">
        <f>'Fixed Assets'!H27</f>
        <v>800000</v>
      </c>
    </row>
    <row r="26" spans="1:8" x14ac:dyDescent="0.3">
      <c r="C26" s="51"/>
      <c r="D26" s="52"/>
      <c r="E26" s="52"/>
      <c r="F26" s="52"/>
      <c r="G26" s="52"/>
      <c r="H26" s="52"/>
    </row>
    <row r="27" spans="1:8" x14ac:dyDescent="0.3">
      <c r="A27" s="2" t="s">
        <v>126</v>
      </c>
      <c r="C27" s="51"/>
      <c r="D27" s="52"/>
      <c r="E27" s="52"/>
      <c r="F27" s="52"/>
      <c r="G27" s="52"/>
      <c r="H27" s="52"/>
    </row>
    <row r="28" spans="1:8" x14ac:dyDescent="0.3">
      <c r="A28" t="s">
        <v>135</v>
      </c>
      <c r="C28" s="51"/>
      <c r="D28" s="23">
        <f>'Working Capital'!D4</f>
        <v>3787397.2602739725</v>
      </c>
      <c r="E28" s="23">
        <f>'Working Capital'!E4</f>
        <v>6022490.6958904108</v>
      </c>
      <c r="F28" s="23">
        <f>'Working Capital'!F4</f>
        <v>7422268.0088021941</v>
      </c>
      <c r="G28" s="23">
        <f>'Working Capital'!G4</f>
        <v>8409348.9969067257</v>
      </c>
      <c r="H28" s="23">
        <f>'Working Capital'!H4</f>
        <v>9206112.2282856591</v>
      </c>
    </row>
    <row r="29" spans="1:8" x14ac:dyDescent="0.3">
      <c r="A29" t="s">
        <v>84</v>
      </c>
      <c r="C29" s="51"/>
      <c r="D29" s="52">
        <f>Revenue!D27</f>
        <v>16358400</v>
      </c>
      <c r="E29" s="52">
        <f>Revenue!E27</f>
        <v>23379716.880000003</v>
      </c>
      <c r="F29" s="52">
        <f>Revenue!F27</f>
        <v>25859674.153584</v>
      </c>
      <c r="G29" s="52">
        <f>Revenue!G27</f>
        <v>26227246.923976142</v>
      </c>
      <c r="H29" s="52">
        <f>Revenue!H27</f>
        <v>25600337.443550915</v>
      </c>
    </row>
    <row r="30" spans="1:8" x14ac:dyDescent="0.3">
      <c r="A30" t="s">
        <v>136</v>
      </c>
      <c r="C30" s="51"/>
      <c r="D30" s="52">
        <f>'Cashflow Statement'!D35</f>
        <v>100000</v>
      </c>
      <c r="E30" s="52">
        <f>'Cashflow Statement'!E35</f>
        <v>100000</v>
      </c>
      <c r="F30" s="52">
        <f>'Cashflow Statement'!F35</f>
        <v>4314105.7322069816</v>
      </c>
      <c r="G30" s="52">
        <f>'Cashflow Statement'!G35</f>
        <v>14112117.900325542</v>
      </c>
      <c r="H30" s="52">
        <f>'Cashflow Statement'!H35</f>
        <v>27834465.249026716</v>
      </c>
    </row>
    <row r="31" spans="1:8" x14ac:dyDescent="0.3">
      <c r="C31" s="51"/>
      <c r="D31" s="52"/>
      <c r="E31" s="52"/>
      <c r="F31" s="52"/>
      <c r="G31" s="52"/>
      <c r="H31" s="52"/>
    </row>
    <row r="32" spans="1:8" x14ac:dyDescent="0.3">
      <c r="A32" s="27" t="s">
        <v>127</v>
      </c>
      <c r="B32" s="27"/>
      <c r="C32" s="55"/>
      <c r="D32" s="28">
        <f>SUM(D28:D30,D23:D25)</f>
        <v>22500797.260273971</v>
      </c>
      <c r="E32" s="56">
        <f t="shared" ref="E32:H32" si="5">SUM(E28:E30,E23:E25)</f>
        <v>31512207.575890414</v>
      </c>
      <c r="F32" s="56">
        <f t="shared" si="5"/>
        <v>39786047.894593179</v>
      </c>
      <c r="G32" s="56">
        <f t="shared" si="5"/>
        <v>50618713.82120841</v>
      </c>
      <c r="H32" s="56">
        <f t="shared" si="5"/>
        <v>64190914.920863286</v>
      </c>
    </row>
    <row r="33" spans="1:8" s="59" customFormat="1" ht="10.199999999999999" x14ac:dyDescent="0.2">
      <c r="A33" s="50" t="s">
        <v>128</v>
      </c>
      <c r="B33" s="60"/>
      <c r="C33" s="61"/>
      <c r="D33" s="62">
        <f>D32-D18</f>
        <v>0</v>
      </c>
      <c r="E33" s="62">
        <f t="shared" ref="E33:H33" si="6">E32-E18</f>
        <v>0</v>
      </c>
      <c r="F33" s="62">
        <f t="shared" si="6"/>
        <v>0</v>
      </c>
      <c r="G33" s="62">
        <f t="shared" si="6"/>
        <v>0</v>
      </c>
      <c r="H33" s="62">
        <f t="shared" si="6"/>
        <v>0</v>
      </c>
    </row>
    <row r="34" spans="1:8" x14ac:dyDescent="0.3">
      <c r="C34" s="51"/>
      <c r="D34" s="52"/>
      <c r="E34" s="52"/>
      <c r="F34" s="52"/>
      <c r="G34" s="52"/>
      <c r="H34" s="52"/>
    </row>
    <row r="35" spans="1:8" x14ac:dyDescent="0.3">
      <c r="C35" s="51"/>
      <c r="D35" s="52"/>
      <c r="E35" s="52"/>
      <c r="F35" s="52"/>
      <c r="G35" s="52"/>
      <c r="H35" s="52"/>
    </row>
    <row r="36" spans="1:8" x14ac:dyDescent="0.3">
      <c r="C36" s="51"/>
      <c r="D36" s="52"/>
      <c r="E36" s="52"/>
      <c r="F36" s="52"/>
      <c r="G36" s="52"/>
      <c r="H36" s="52"/>
    </row>
    <row r="37" spans="1:8" x14ac:dyDescent="0.3">
      <c r="C37" s="51"/>
      <c r="D37" s="52"/>
      <c r="E37" s="52"/>
      <c r="F37" s="52"/>
      <c r="G37" s="52"/>
      <c r="H37" s="52"/>
    </row>
    <row r="38" spans="1:8" x14ac:dyDescent="0.3">
      <c r="C38" s="51"/>
      <c r="D38" s="52"/>
      <c r="E38" s="52"/>
      <c r="F38" s="52"/>
      <c r="G38" s="52"/>
      <c r="H38" s="52"/>
    </row>
    <row r="39" spans="1:8" x14ac:dyDescent="0.3">
      <c r="C39" s="51"/>
      <c r="D39" s="52"/>
      <c r="E39" s="52"/>
      <c r="F39" s="52"/>
      <c r="G39" s="52"/>
      <c r="H39" s="5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171C-B734-4042-B542-66D530D773D7}">
  <dimension ref="A1:H35"/>
  <sheetViews>
    <sheetView showGridLines="0" zoomScaleNormal="100" workbookViewId="0">
      <selection activeCell="D24" sqref="D24"/>
    </sheetView>
  </sheetViews>
  <sheetFormatPr defaultRowHeight="14.4" x14ac:dyDescent="0.3"/>
  <cols>
    <col min="1" max="1" width="55.109375" bestFit="1" customWidth="1"/>
    <col min="2" max="2" width="10.6640625" bestFit="1" customWidth="1"/>
    <col min="4" max="4" width="15.109375" style="22" bestFit="1" customWidth="1"/>
    <col min="5" max="6" width="13.33203125" style="22" bestFit="1" customWidth="1"/>
    <col min="7" max="7" width="13.33203125" style="22" customWidth="1"/>
    <col min="8" max="8" width="13.33203125" style="22" bestFit="1" customWidth="1"/>
  </cols>
  <sheetData>
    <row r="1" spans="1:8" x14ac:dyDescent="0.3">
      <c r="A1" s="18" t="s">
        <v>72</v>
      </c>
      <c r="B1" s="18"/>
      <c r="C1" s="19">
        <v>0</v>
      </c>
      <c r="D1" s="19">
        <f>C1+1</f>
        <v>1</v>
      </c>
      <c r="E1" s="19">
        <f>D1+1</f>
        <v>2</v>
      </c>
      <c r="F1" s="19">
        <f t="shared" ref="F1:G1" si="0">E1+1</f>
        <v>3</v>
      </c>
      <c r="G1" s="19">
        <f t="shared" si="0"/>
        <v>4</v>
      </c>
      <c r="H1" s="19">
        <f>G1+1</f>
        <v>5</v>
      </c>
    </row>
    <row r="2" spans="1:8" x14ac:dyDescent="0.3">
      <c r="A2" s="18" t="s">
        <v>73</v>
      </c>
      <c r="B2" s="18"/>
      <c r="C2" s="18"/>
      <c r="D2" s="21">
        <f>EOMONTH(Input!B2,11)</f>
        <v>45382</v>
      </c>
      <c r="E2" s="21">
        <f>EOMONTH(D2,12)</f>
        <v>45747</v>
      </c>
      <c r="F2" s="21">
        <f t="shared" ref="F2:G2" si="1">EOMONTH(E2,12)</f>
        <v>46112</v>
      </c>
      <c r="G2" s="21">
        <f t="shared" si="1"/>
        <v>46477</v>
      </c>
      <c r="H2" s="21">
        <f>EOMONTH(G2,12)</f>
        <v>46843</v>
      </c>
    </row>
    <row r="3" spans="1:8" x14ac:dyDescent="0.3">
      <c r="A3" s="2" t="s">
        <v>139</v>
      </c>
      <c r="D3" s="23"/>
    </row>
    <row r="4" spans="1:8" x14ac:dyDescent="0.3">
      <c r="A4" t="s">
        <v>101</v>
      </c>
      <c r="D4" s="63">
        <v>3147480</v>
      </c>
      <c r="E4" s="63">
        <v>7771430.8560000015</v>
      </c>
      <c r="F4" s="63">
        <v>11651250.277732803</v>
      </c>
      <c r="G4" s="63">
        <v>15446604.622506883</v>
      </c>
      <c r="H4" s="63">
        <v>19477461.711028796</v>
      </c>
    </row>
    <row r="5" spans="1:8" x14ac:dyDescent="0.3">
      <c r="A5" t="s">
        <v>140</v>
      </c>
    </row>
    <row r="6" spans="1:8" x14ac:dyDescent="0.3">
      <c r="A6" t="s">
        <v>175</v>
      </c>
      <c r="D6" s="23">
        <f>'P&amp;L'!D11</f>
        <v>245000</v>
      </c>
      <c r="E6" s="23">
        <f>'P&amp;L'!E11</f>
        <v>245000</v>
      </c>
      <c r="F6" s="23">
        <f>'P&amp;L'!F11</f>
        <v>320000</v>
      </c>
      <c r="G6" s="23">
        <f>'P&amp;L'!G11</f>
        <v>320000</v>
      </c>
      <c r="H6" s="23">
        <f>'P&amp;L'!H11</f>
        <v>320000</v>
      </c>
    </row>
    <row r="7" spans="1:8" x14ac:dyDescent="0.3">
      <c r="A7" t="s">
        <v>145</v>
      </c>
      <c r="D7" s="23">
        <f>'P&amp;L'!D13</f>
        <v>225000</v>
      </c>
      <c r="E7" s="23">
        <f>'P&amp;L'!E13</f>
        <v>135000</v>
      </c>
      <c r="F7" s="23">
        <f>'P&amp;L'!F13</f>
        <v>90000</v>
      </c>
      <c r="G7" s="23">
        <f>'P&amp;L'!G13</f>
        <v>45000</v>
      </c>
      <c r="H7" s="23">
        <f>'P&amp;L'!H13</f>
        <v>0</v>
      </c>
    </row>
    <row r="8" spans="1:8" x14ac:dyDescent="0.3">
      <c r="A8" s="29" t="s">
        <v>141</v>
      </c>
      <c r="B8" s="29"/>
      <c r="C8" s="29"/>
      <c r="D8" s="65">
        <f>SUM(D4:D7)</f>
        <v>3617480</v>
      </c>
      <c r="E8" s="65">
        <f t="shared" ref="E8:H8" si="2">SUM(E4:E7)</f>
        <v>8151430.8560000015</v>
      </c>
      <c r="F8" s="65">
        <f t="shared" si="2"/>
        <v>12061250.277732803</v>
      </c>
      <c r="G8" s="65">
        <f t="shared" si="2"/>
        <v>15811604.622506883</v>
      </c>
      <c r="H8" s="65">
        <f t="shared" si="2"/>
        <v>19797461.711028796</v>
      </c>
    </row>
    <row r="9" spans="1:8" x14ac:dyDescent="0.3">
      <c r="A9" t="s">
        <v>142</v>
      </c>
      <c r="D9" s="64">
        <f>-('Balance Sheet'!D28-'Balance Sheet'!C28)</f>
        <v>-3787397.2602739725</v>
      </c>
      <c r="E9" s="64">
        <f>-('Balance Sheet'!E28-'Balance Sheet'!D28)</f>
        <v>-2235093.4356164383</v>
      </c>
      <c r="F9" s="64">
        <f>-('Balance Sheet'!F28-'Balance Sheet'!E28)</f>
        <v>-1399777.3129117833</v>
      </c>
      <c r="G9" s="64">
        <f>-('Balance Sheet'!G28-'Balance Sheet'!F28)</f>
        <v>-987080.98810453154</v>
      </c>
      <c r="H9" s="64">
        <f>-('Balance Sheet'!H28-'Balance Sheet'!G28)</f>
        <v>-796763.23137893341</v>
      </c>
    </row>
    <row r="10" spans="1:8" x14ac:dyDescent="0.3">
      <c r="A10" t="s">
        <v>157</v>
      </c>
      <c r="D10" s="64">
        <f>-('Balance Sheet'!D29-'Balance Sheet'!C29)</f>
        <v>-16358400</v>
      </c>
      <c r="E10" s="64">
        <f>-('Balance Sheet'!E29-'Balance Sheet'!D29)</f>
        <v>-7021316.8800000027</v>
      </c>
      <c r="F10" s="64">
        <f>-('Balance Sheet'!F29-'Balance Sheet'!E29)</f>
        <v>-2479957.273583997</v>
      </c>
      <c r="G10" s="64">
        <f>-('Balance Sheet'!G29-'Balance Sheet'!F29)</f>
        <v>-367572.77039214224</v>
      </c>
      <c r="H10" s="64">
        <f>-('Balance Sheet'!H29-'Balance Sheet'!G29)</f>
        <v>626909.48042522743</v>
      </c>
    </row>
    <row r="11" spans="1:8" x14ac:dyDescent="0.3">
      <c r="A11" t="s">
        <v>143</v>
      </c>
      <c r="D11" s="23">
        <f>('Balance Sheet'!D14-'Balance Sheet'!C14)</f>
        <v>4923616.4383561648</v>
      </c>
      <c r="E11" s="23">
        <f>('Balance Sheet'!E14-'Balance Sheet'!D14)</f>
        <v>822812.05479452014</v>
      </c>
      <c r="F11" s="23">
        <f>('Balance Sheet'!F14-'Balance Sheet'!E14)</f>
        <v>924101.26027397439</v>
      </c>
      <c r="G11" s="23">
        <f>('Balance Sheet'!G14-'Balance Sheet'!F14)</f>
        <v>1035028.208219179</v>
      </c>
      <c r="H11" s="23">
        <f>('Balance Sheet'!H14-'Balance Sheet'!G14)</f>
        <v>1156381.742465754</v>
      </c>
    </row>
    <row r="12" spans="1:8" x14ac:dyDescent="0.3">
      <c r="A12" t="s">
        <v>144</v>
      </c>
      <c r="D12" s="23">
        <f>('Balance Sheet'!D15-'Balance Sheet'!C15)</f>
        <v>415561.64383561641</v>
      </c>
      <c r="E12" s="23">
        <f>('Balance Sheet'!E15-'Balance Sheet'!D15)</f>
        <v>199295.40821917809</v>
      </c>
      <c r="F12" s="23">
        <f>('Balance Sheet'!F15-'Balance Sheet'!E15)</f>
        <v>151426.37790246611</v>
      </c>
      <c r="G12" s="23">
        <f>('Balance Sheet'!G15-'Balance Sheet'!F15)</f>
        <v>132344.71376658021</v>
      </c>
      <c r="H12" s="23">
        <f>('Balance Sheet'!H15-'Balance Sheet'!G15)</f>
        <v>130469.24502040539</v>
      </c>
    </row>
    <row r="13" spans="1:8" x14ac:dyDescent="0.3">
      <c r="A13" s="7" t="s">
        <v>148</v>
      </c>
      <c r="B13" s="7"/>
      <c r="C13" s="7"/>
      <c r="D13" s="68">
        <f>SUM(D8:D12)</f>
        <v>-11189139.17808219</v>
      </c>
      <c r="E13" s="68">
        <f>SUM(E8:E12)</f>
        <v>-82871.996602741187</v>
      </c>
      <c r="F13" s="68">
        <f t="shared" ref="F13:H13" si="3">SUM(F8:F12)</f>
        <v>9257043.3294134624</v>
      </c>
      <c r="G13" s="68">
        <f t="shared" si="3"/>
        <v>15624323.78599597</v>
      </c>
      <c r="H13" s="68">
        <f t="shared" si="3"/>
        <v>20914458.947561249</v>
      </c>
    </row>
    <row r="15" spans="1:8" x14ac:dyDescent="0.3">
      <c r="A15" s="2" t="s">
        <v>147</v>
      </c>
    </row>
    <row r="16" spans="1:8" x14ac:dyDescent="0.3">
      <c r="A16" t="s">
        <v>146</v>
      </c>
    </row>
    <row r="17" spans="1:8" x14ac:dyDescent="0.3">
      <c r="A17" t="s">
        <v>59</v>
      </c>
      <c r="D17" s="67">
        <f>-('Fixed Assets'!D5)</f>
        <v>-1500000</v>
      </c>
      <c r="E17" s="67">
        <f>-('Fixed Assets'!E5)</f>
        <v>0</v>
      </c>
      <c r="F17" s="67">
        <f>-('Fixed Assets'!F5)</f>
        <v>-500000</v>
      </c>
      <c r="G17" s="67">
        <f>-('Fixed Assets'!G5)</f>
        <v>0</v>
      </c>
      <c r="H17" s="67">
        <f>-('Fixed Assets'!H5)</f>
        <v>0</v>
      </c>
    </row>
    <row r="18" spans="1:8" x14ac:dyDescent="0.3">
      <c r="A18" t="s">
        <v>60</v>
      </c>
      <c r="D18" s="67">
        <f>-('Fixed Assets'!D14)</f>
        <v>-200000</v>
      </c>
      <c r="E18" s="66">
        <f>-('Fixed Assets'!E14)</f>
        <v>0</v>
      </c>
      <c r="F18" s="67">
        <f>-('Fixed Assets'!F14)</f>
        <v>0</v>
      </c>
      <c r="G18" s="67">
        <f>-('Fixed Assets'!G14)</f>
        <v>0</v>
      </c>
      <c r="H18" s="67">
        <f>-('Fixed Assets'!H14)</f>
        <v>0</v>
      </c>
    </row>
    <row r="19" spans="1:8" x14ac:dyDescent="0.3">
      <c r="A19" t="s">
        <v>61</v>
      </c>
      <c r="D19" s="67">
        <f>-('Fixed Assets'!D23)</f>
        <v>-800000</v>
      </c>
      <c r="E19" s="67">
        <f>-('Fixed Assets'!E23)</f>
        <v>0</v>
      </c>
      <c r="F19" s="67">
        <f>-('Fixed Assets'!F23)</f>
        <v>0</v>
      </c>
      <c r="G19" s="67">
        <f>-('Fixed Assets'!G23)</f>
        <v>0</v>
      </c>
      <c r="H19" s="67">
        <f>-('Fixed Assets'!H23)</f>
        <v>0</v>
      </c>
    </row>
    <row r="20" spans="1:8" x14ac:dyDescent="0.3">
      <c r="A20" s="7" t="s">
        <v>147</v>
      </c>
      <c r="B20" s="7"/>
      <c r="C20" s="7"/>
      <c r="D20" s="68">
        <f>SUM(D17:D19)</f>
        <v>-2500000</v>
      </c>
      <c r="E20" s="68">
        <f t="shared" ref="E20:H20" si="4">SUM(E17:E19)</f>
        <v>0</v>
      </c>
      <c r="F20" s="68">
        <f t="shared" si="4"/>
        <v>-500000</v>
      </c>
      <c r="G20" s="68">
        <f t="shared" si="4"/>
        <v>0</v>
      </c>
      <c r="H20" s="68">
        <f t="shared" si="4"/>
        <v>0</v>
      </c>
    </row>
    <row r="22" spans="1:8" x14ac:dyDescent="0.3">
      <c r="A22" s="2" t="s">
        <v>149</v>
      </c>
    </row>
    <row r="23" spans="1:8" x14ac:dyDescent="0.3">
      <c r="A23" t="s">
        <v>150</v>
      </c>
      <c r="D23" s="51">
        <f>('Balance Sheet'!D6-'Balance Sheet'!C6)</f>
        <v>1600000</v>
      </c>
      <c r="E23" s="51">
        <f>'Balance Sheet'!E6-'Balance Sheet'!D6</f>
        <v>0</v>
      </c>
      <c r="F23" s="51">
        <f>'Balance Sheet'!F6-'Balance Sheet'!E6</f>
        <v>0</v>
      </c>
      <c r="G23" s="51">
        <f>'Balance Sheet'!G6-'Balance Sheet'!F6</f>
        <v>0</v>
      </c>
      <c r="H23" s="51">
        <f>'Balance Sheet'!H6-'Balance Sheet'!G6</f>
        <v>0</v>
      </c>
    </row>
    <row r="24" spans="1:8" x14ac:dyDescent="0.3">
      <c r="A24" t="s">
        <v>151</v>
      </c>
      <c r="D24" s="52">
        <f>'Debt Schedule'!D4</f>
        <v>1500000</v>
      </c>
      <c r="E24" s="52">
        <f>'Debt Schedule'!E4</f>
        <v>0</v>
      </c>
      <c r="F24" s="52">
        <f>'Debt Schedule'!F4</f>
        <v>0</v>
      </c>
      <c r="G24" s="52">
        <f>'Debt Schedule'!G4</f>
        <v>0</v>
      </c>
      <c r="H24" s="52">
        <f>'Debt Schedule'!H4</f>
        <v>0</v>
      </c>
    </row>
    <row r="25" spans="1:8" x14ac:dyDescent="0.3">
      <c r="A25" t="s">
        <v>152</v>
      </c>
      <c r="D25" s="52">
        <f>-'Debt Schedule'!D5</f>
        <v>0</v>
      </c>
      <c r="E25" s="52">
        <f>-'Debt Schedule'!E5</f>
        <v>-375000</v>
      </c>
      <c r="F25" s="52">
        <f>-'Debt Schedule'!F5</f>
        <v>-375000</v>
      </c>
      <c r="G25" s="52">
        <f>-'Debt Schedule'!G5</f>
        <v>-375000</v>
      </c>
      <c r="H25" s="52">
        <f>-'Debt Schedule'!H5</f>
        <v>-375000</v>
      </c>
    </row>
    <row r="26" spans="1:8" x14ac:dyDescent="0.3">
      <c r="A26" t="s">
        <v>153</v>
      </c>
      <c r="D26" s="52">
        <f>-'P&amp;L'!D13</f>
        <v>-225000</v>
      </c>
      <c r="E26" s="52">
        <f>-'P&amp;L'!E13</f>
        <v>-135000</v>
      </c>
      <c r="F26" s="52">
        <f>-'P&amp;L'!F13</f>
        <v>-90000</v>
      </c>
      <c r="G26" s="52">
        <f>-'P&amp;L'!G13</f>
        <v>-45000</v>
      </c>
      <c r="H26" s="52">
        <f>-'P&amp;L'!H13</f>
        <v>0</v>
      </c>
    </row>
    <row r="27" spans="1:8" x14ac:dyDescent="0.3">
      <c r="A27" t="s">
        <v>154</v>
      </c>
      <c r="D27" s="52">
        <f>-'P&amp;L'!D18</f>
        <v>0</v>
      </c>
      <c r="E27" s="52">
        <f>-'P&amp;L'!E18</f>
        <v>-2720000.7996000005</v>
      </c>
      <c r="F27" s="52">
        <f>-'P&amp;L'!F18</f>
        <v>-4077937.5972064808</v>
      </c>
      <c r="G27" s="52">
        <f>-'P&amp;L'!G18</f>
        <v>-5406311.6178774089</v>
      </c>
      <c r="H27" s="52">
        <f>-'P&amp;L'!H18</f>
        <v>-6817111.5988600785</v>
      </c>
    </row>
    <row r="28" spans="1:8" x14ac:dyDescent="0.3">
      <c r="A28" s="7" t="s">
        <v>149</v>
      </c>
      <c r="B28" s="7"/>
      <c r="C28" s="7"/>
      <c r="D28" s="68">
        <f>SUM(D23:D27)</f>
        <v>2875000</v>
      </c>
      <c r="E28" s="68">
        <f t="shared" ref="E28:H28" si="5">SUM(E23:E27)</f>
        <v>-3230000.7996000005</v>
      </c>
      <c r="F28" s="68">
        <f t="shared" si="5"/>
        <v>-4542937.5972064808</v>
      </c>
      <c r="G28" s="68">
        <f t="shared" si="5"/>
        <v>-5826311.6178774089</v>
      </c>
      <c r="H28" s="68">
        <f t="shared" si="5"/>
        <v>-7192111.5988600785</v>
      </c>
    </row>
    <row r="30" spans="1:8" x14ac:dyDescent="0.3">
      <c r="A30" s="2" t="s">
        <v>155</v>
      </c>
      <c r="B30" s="2"/>
      <c r="C30" s="2"/>
      <c r="D30" s="69">
        <f>SUM(D28,D20,D13)</f>
        <v>-10814139.17808219</v>
      </c>
      <c r="E30" s="69">
        <f t="shared" ref="E30:H30" si="6">SUM(E28,E20,E13)</f>
        <v>-3312872.7962027416</v>
      </c>
      <c r="F30" s="69">
        <f t="shared" si="6"/>
        <v>4214105.7322069816</v>
      </c>
      <c r="G30" s="69">
        <f t="shared" si="6"/>
        <v>9798012.1681185607</v>
      </c>
      <c r="H30" s="69">
        <f t="shared" si="6"/>
        <v>13722347.348701172</v>
      </c>
    </row>
    <row r="31" spans="1:8" x14ac:dyDescent="0.3">
      <c r="A31" t="s">
        <v>156</v>
      </c>
      <c r="D31" s="52">
        <f>C32</f>
        <v>0</v>
      </c>
      <c r="E31" s="52">
        <f>D35</f>
        <v>100000</v>
      </c>
      <c r="F31" s="52">
        <f t="shared" ref="F31:H31" si="7">E35</f>
        <v>100000</v>
      </c>
      <c r="G31" s="52">
        <f t="shared" si="7"/>
        <v>4314105.7322069816</v>
      </c>
      <c r="H31" s="52">
        <f t="shared" si="7"/>
        <v>14112117.900325542</v>
      </c>
    </row>
    <row r="32" spans="1:8" x14ac:dyDescent="0.3">
      <c r="A32" s="27" t="s">
        <v>158</v>
      </c>
      <c r="B32" s="27"/>
      <c r="C32" s="27"/>
      <c r="D32" s="56">
        <f>D30+D31</f>
        <v>-10814139.17808219</v>
      </c>
      <c r="E32" s="56">
        <f>E30+E31</f>
        <v>-3212872.7962027416</v>
      </c>
      <c r="F32" s="56">
        <f t="shared" ref="F32:H32" si="8">F30+F31</f>
        <v>4314105.7322069816</v>
      </c>
      <c r="G32" s="56">
        <f t="shared" si="8"/>
        <v>14112117.900325542</v>
      </c>
      <c r="H32" s="56">
        <f t="shared" si="8"/>
        <v>27834465.249026716</v>
      </c>
    </row>
    <row r="33" spans="1:8" x14ac:dyDescent="0.3">
      <c r="A33" t="s">
        <v>159</v>
      </c>
      <c r="D33" s="52">
        <v>100000</v>
      </c>
      <c r="E33" s="52">
        <v>100000</v>
      </c>
      <c r="F33" s="52">
        <v>100000</v>
      </c>
      <c r="G33" s="52">
        <v>100000</v>
      </c>
      <c r="H33" s="52">
        <v>100000</v>
      </c>
    </row>
    <row r="34" spans="1:8" x14ac:dyDescent="0.3">
      <c r="A34" t="s">
        <v>160</v>
      </c>
      <c r="D34" s="52">
        <f>IF(D32&lt;0,ABS(D32)+D33,0)</f>
        <v>10914139.17808219</v>
      </c>
      <c r="E34" s="52">
        <f t="shared" ref="E34:H34" si="9">IF(E32&lt;0,ABS(E32)+E33,0)</f>
        <v>3312872.7962027416</v>
      </c>
      <c r="F34" s="52">
        <f t="shared" si="9"/>
        <v>0</v>
      </c>
      <c r="G34" s="52">
        <f t="shared" si="9"/>
        <v>0</v>
      </c>
      <c r="H34" s="52">
        <f t="shared" si="9"/>
        <v>0</v>
      </c>
    </row>
    <row r="35" spans="1:8" x14ac:dyDescent="0.3">
      <c r="A35" s="7" t="s">
        <v>111</v>
      </c>
      <c r="B35" s="7"/>
      <c r="C35" s="7"/>
      <c r="D35" s="68">
        <f>D32+D34</f>
        <v>100000</v>
      </c>
      <c r="E35" s="68">
        <f t="shared" ref="E35:H35" si="10">E32+E34</f>
        <v>100000</v>
      </c>
      <c r="F35" s="68">
        <f t="shared" si="10"/>
        <v>4314105.7322069816</v>
      </c>
      <c r="G35" s="68">
        <f t="shared" si="10"/>
        <v>14112117.900325542</v>
      </c>
      <c r="H35" s="68">
        <f t="shared" si="10"/>
        <v>27834465.249026716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18FF-60BE-4BAB-A1ED-A08869A9A3E4}">
  <dimension ref="A1:H13"/>
  <sheetViews>
    <sheetView showGridLines="0" zoomScale="145" zoomScaleNormal="145" workbookViewId="0">
      <selection activeCell="D18" sqref="D18"/>
    </sheetView>
  </sheetViews>
  <sheetFormatPr defaultRowHeight="14.4" x14ac:dyDescent="0.3"/>
  <cols>
    <col min="1" max="1" width="34.33203125" bestFit="1" customWidth="1"/>
    <col min="4" max="4" width="13.33203125" style="22" bestFit="1" customWidth="1"/>
    <col min="5" max="5" width="11.6640625" style="22" bestFit="1" customWidth="1"/>
    <col min="6" max="6" width="12.5546875" style="22" customWidth="1"/>
    <col min="7" max="7" width="13.33203125" style="22" customWidth="1"/>
    <col min="8" max="8" width="11.88671875" style="22" customWidth="1"/>
  </cols>
  <sheetData>
    <row r="1" spans="1:8" x14ac:dyDescent="0.3">
      <c r="A1" s="18" t="s">
        <v>72</v>
      </c>
      <c r="B1" s="18"/>
      <c r="C1" s="19">
        <v>0</v>
      </c>
      <c r="D1" s="19">
        <f>C1+1</f>
        <v>1</v>
      </c>
      <c r="E1" s="19">
        <f>D1+1</f>
        <v>2</v>
      </c>
      <c r="F1" s="19">
        <f t="shared" ref="F1:G1" si="0">E1+1</f>
        <v>3</v>
      </c>
      <c r="G1" s="19">
        <f t="shared" si="0"/>
        <v>4</v>
      </c>
      <c r="H1" s="19">
        <f>G1+1</f>
        <v>5</v>
      </c>
    </row>
    <row r="2" spans="1:8" x14ac:dyDescent="0.3">
      <c r="A2" s="18" t="s">
        <v>73</v>
      </c>
      <c r="B2" s="18"/>
      <c r="C2" s="18"/>
      <c r="D2" s="21">
        <f>EOMONTH(Input!B2,11)</f>
        <v>45382</v>
      </c>
      <c r="E2" s="21">
        <f>EOMONTH(D2,12)</f>
        <v>45747</v>
      </c>
      <c r="F2" s="21">
        <f t="shared" ref="F2:G2" si="1">EOMONTH(E2,12)</f>
        <v>46112</v>
      </c>
      <c r="G2" s="21">
        <f t="shared" si="1"/>
        <v>46477</v>
      </c>
      <c r="H2" s="21">
        <f>EOMONTH(G2,12)</f>
        <v>46843</v>
      </c>
    </row>
    <row r="3" spans="1:8" x14ac:dyDescent="0.3">
      <c r="A3" s="2" t="s">
        <v>162</v>
      </c>
      <c r="B3" t="s">
        <v>31</v>
      </c>
    </row>
    <row r="4" spans="1:8" x14ac:dyDescent="0.3">
      <c r="A4" t="s">
        <v>98</v>
      </c>
      <c r="B4" t="s">
        <v>31</v>
      </c>
      <c r="D4" s="23">
        <f>'P&amp;L'!D12</f>
        <v>4721400</v>
      </c>
      <c r="E4" s="23">
        <f>'P&amp;L'!E12</f>
        <v>11237044.080000002</v>
      </c>
      <c r="F4" s="23">
        <f>'P&amp;L'!F12</f>
        <v>16734643.253904004</v>
      </c>
      <c r="G4" s="23">
        <f>'P&amp;L'!G12</f>
        <v>22111578.03215269</v>
      </c>
      <c r="H4" s="23">
        <f>'P&amp;L'!H12</f>
        <v>27824945.301469706</v>
      </c>
    </row>
    <row r="5" spans="1:8" x14ac:dyDescent="0.3">
      <c r="A5" t="s">
        <v>163</v>
      </c>
      <c r="B5" t="s">
        <v>31</v>
      </c>
      <c r="D5" s="23">
        <f>D4*Input!$B$57</f>
        <v>1416420</v>
      </c>
      <c r="E5" s="23">
        <f>E4*Input!$B$57</f>
        <v>3371113.2240000004</v>
      </c>
      <c r="F5" s="23">
        <f>F4*Input!$B$57</f>
        <v>5020392.9761712011</v>
      </c>
      <c r="G5" s="23">
        <f>G4*Input!$B$57</f>
        <v>6633473.409645807</v>
      </c>
      <c r="H5" s="23">
        <f>H4*Input!$B$57</f>
        <v>8347483.5904409112</v>
      </c>
    </row>
    <row r="6" spans="1:8" x14ac:dyDescent="0.3">
      <c r="A6" s="70" t="s">
        <v>164</v>
      </c>
      <c r="B6" s="71" t="s">
        <v>31</v>
      </c>
      <c r="C6" s="70"/>
      <c r="D6" s="72">
        <f>D4-D5</f>
        <v>3304980</v>
      </c>
      <c r="E6" s="72">
        <f t="shared" ref="E6:H6" si="2">E4-E5</f>
        <v>7865930.8560000015</v>
      </c>
      <c r="F6" s="72">
        <f t="shared" si="2"/>
        <v>11714250.277732803</v>
      </c>
      <c r="G6" s="72">
        <f t="shared" si="2"/>
        <v>15478104.622506883</v>
      </c>
      <c r="H6" s="72">
        <f t="shared" si="2"/>
        <v>19477461.711028796</v>
      </c>
    </row>
    <row r="7" spans="1:8" x14ac:dyDescent="0.3">
      <c r="A7" t="s">
        <v>165</v>
      </c>
      <c r="B7" t="s">
        <v>31</v>
      </c>
      <c r="D7" s="52">
        <f>SUM('Cashflow Statement'!D17:D19)</f>
        <v>-2500000</v>
      </c>
      <c r="E7" s="52">
        <f>SUM('Cashflow Statement'!E17:E19)</f>
        <v>0</v>
      </c>
      <c r="F7" s="52">
        <f>SUM('Cashflow Statement'!F17:F19)</f>
        <v>-500000</v>
      </c>
      <c r="G7" s="52">
        <f>SUM('Cashflow Statement'!G17:G19)</f>
        <v>0</v>
      </c>
      <c r="H7" s="52">
        <f>SUM('Cashflow Statement'!H17:H19)</f>
        <v>0</v>
      </c>
    </row>
    <row r="8" spans="1:8" x14ac:dyDescent="0.3">
      <c r="A8" t="s">
        <v>171</v>
      </c>
      <c r="B8" t="s">
        <v>31</v>
      </c>
      <c r="D8" s="23">
        <f>'Cashflow Statement'!D6</f>
        <v>245000</v>
      </c>
      <c r="E8" s="23">
        <f>'Cashflow Statement'!E6</f>
        <v>245000</v>
      </c>
      <c r="F8" s="23">
        <f>'Cashflow Statement'!F6</f>
        <v>320000</v>
      </c>
      <c r="G8" s="23">
        <f>'Cashflow Statement'!G6</f>
        <v>320000</v>
      </c>
      <c r="H8" s="23">
        <f>'Cashflow Statement'!H6</f>
        <v>320000</v>
      </c>
    </row>
    <row r="9" spans="1:8" x14ac:dyDescent="0.3">
      <c r="A9" t="s">
        <v>166</v>
      </c>
      <c r="B9" t="s">
        <v>31</v>
      </c>
      <c r="D9" s="52">
        <f>SUM('Cashflow Statement'!D9:D12)</f>
        <v>-14806619.178082189</v>
      </c>
      <c r="E9" s="52">
        <f>SUM('Cashflow Statement'!E9:E12)</f>
        <v>-8234302.8526027417</v>
      </c>
      <c r="F9" s="52">
        <f>SUM('Cashflow Statement'!F9:F12)</f>
        <v>-2804206.9483193401</v>
      </c>
      <c r="G9" s="52">
        <f>SUM('Cashflow Statement'!G9:G12)</f>
        <v>-187280.83651091461</v>
      </c>
      <c r="H9" s="52">
        <f>SUM('Cashflow Statement'!H9:H12)</f>
        <v>1116997.2365324534</v>
      </c>
    </row>
    <row r="10" spans="1:8" x14ac:dyDescent="0.3">
      <c r="A10" s="7" t="s">
        <v>167</v>
      </c>
      <c r="B10" s="29" t="s">
        <v>31</v>
      </c>
      <c r="C10" s="7"/>
      <c r="D10" s="68">
        <f>SUM(D6:D9)</f>
        <v>-13756639.178082189</v>
      </c>
      <c r="E10" s="68">
        <f t="shared" ref="E10:H10" si="3">SUM(E6:E9)</f>
        <v>-123371.99660274014</v>
      </c>
      <c r="F10" s="68">
        <f t="shared" si="3"/>
        <v>8730043.3294134624</v>
      </c>
      <c r="G10" s="68">
        <f t="shared" si="3"/>
        <v>15610823.785995968</v>
      </c>
      <c r="H10" s="68">
        <f t="shared" si="3"/>
        <v>20914458.947561249</v>
      </c>
    </row>
    <row r="11" spans="1:8" x14ac:dyDescent="0.3">
      <c r="A11" t="s">
        <v>168</v>
      </c>
      <c r="B11" t="s">
        <v>31</v>
      </c>
      <c r="D11" s="52">
        <f>-'P&amp;L'!D13*(1-Input!$B$57)</f>
        <v>-157500</v>
      </c>
      <c r="E11" s="52">
        <f>-'P&amp;L'!E13*(1-Input!$B$57)</f>
        <v>-94500</v>
      </c>
      <c r="F11" s="52">
        <f>-'P&amp;L'!F13*(1-Input!$B$57)</f>
        <v>-62999.999999999993</v>
      </c>
      <c r="G11" s="52">
        <f>-'P&amp;L'!G13*(1-Input!$B$57)</f>
        <v>-31499.999999999996</v>
      </c>
      <c r="H11" s="52">
        <f>-'P&amp;L'!H13*(1-Input!$B$57)</f>
        <v>0</v>
      </c>
    </row>
    <row r="12" spans="1:8" x14ac:dyDescent="0.3">
      <c r="A12" t="s">
        <v>169</v>
      </c>
      <c r="B12" t="s">
        <v>31</v>
      </c>
      <c r="D12" s="52">
        <f>SUM('Cashflow Statement'!D24:D25)</f>
        <v>1500000</v>
      </c>
      <c r="E12" s="52">
        <f>SUM('Cashflow Statement'!E24:E25)</f>
        <v>-375000</v>
      </c>
      <c r="F12" s="52">
        <f>SUM('Cashflow Statement'!F24:F25)</f>
        <v>-375000</v>
      </c>
      <c r="G12" s="52">
        <f>SUM('Cashflow Statement'!G24:G25)</f>
        <v>-375000</v>
      </c>
      <c r="H12" s="52">
        <f>SUM('Cashflow Statement'!H24:H25)</f>
        <v>-375000</v>
      </c>
    </row>
    <row r="13" spans="1:8" x14ac:dyDescent="0.3">
      <c r="A13" s="7" t="s">
        <v>170</v>
      </c>
      <c r="B13" s="7" t="s">
        <v>31</v>
      </c>
      <c r="C13" s="7"/>
      <c r="D13" s="68">
        <f>SUM(D10:D12)</f>
        <v>-12414139.178082189</v>
      </c>
      <c r="E13" s="68">
        <f t="shared" ref="E13:H13" si="4">SUM(E10:E12)</f>
        <v>-592871.99660274014</v>
      </c>
      <c r="F13" s="68">
        <f t="shared" si="4"/>
        <v>8292043.3294134624</v>
      </c>
      <c r="G13" s="68">
        <f t="shared" si="4"/>
        <v>15204323.785995968</v>
      </c>
      <c r="H13" s="68">
        <f t="shared" si="4"/>
        <v>20539458.947561249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6D86-DECA-4A9D-84CC-A8C8DC7523B9}">
  <dimension ref="C10:H23"/>
  <sheetViews>
    <sheetView showGridLines="0" topLeftCell="A4" zoomScale="130" zoomScaleNormal="130" workbookViewId="0">
      <selection activeCell="D15" sqref="D15"/>
    </sheetView>
  </sheetViews>
  <sheetFormatPr defaultRowHeight="14.4" x14ac:dyDescent="0.3"/>
  <sheetData>
    <row r="10" spans="3:8" ht="21" x14ac:dyDescent="0.4">
      <c r="C10" t="s">
        <v>16</v>
      </c>
      <c r="E10" s="1" t="s">
        <v>0</v>
      </c>
    </row>
    <row r="11" spans="3:8" x14ac:dyDescent="0.3">
      <c r="C11" t="s">
        <v>17</v>
      </c>
      <c r="E11" t="s">
        <v>2</v>
      </c>
    </row>
    <row r="12" spans="3:8" x14ac:dyDescent="0.3">
      <c r="E12" t="s">
        <v>1</v>
      </c>
    </row>
    <row r="13" spans="3:8" x14ac:dyDescent="0.3">
      <c r="E13" t="s">
        <v>3</v>
      </c>
    </row>
    <row r="14" spans="3:8" x14ac:dyDescent="0.3">
      <c r="E14" t="s">
        <v>4</v>
      </c>
    </row>
    <row r="15" spans="3:8" x14ac:dyDescent="0.3">
      <c r="E15" t="s">
        <v>5</v>
      </c>
      <c r="H15" t="s">
        <v>15</v>
      </c>
    </row>
    <row r="16" spans="3:8" x14ac:dyDescent="0.3">
      <c r="E16" t="s">
        <v>6</v>
      </c>
    </row>
    <row r="17" spans="5:8" x14ac:dyDescent="0.3">
      <c r="E17" t="s">
        <v>7</v>
      </c>
      <c r="H17" t="s">
        <v>14</v>
      </c>
    </row>
    <row r="18" spans="5:8" x14ac:dyDescent="0.3">
      <c r="E18" t="s">
        <v>8</v>
      </c>
    </row>
    <row r="19" spans="5:8" x14ac:dyDescent="0.3">
      <c r="E19" t="s">
        <v>9</v>
      </c>
      <c r="H19" t="s">
        <v>13</v>
      </c>
    </row>
    <row r="20" spans="5:8" x14ac:dyDescent="0.3">
      <c r="E20" t="s">
        <v>10</v>
      </c>
    </row>
    <row r="21" spans="5:8" x14ac:dyDescent="0.3">
      <c r="E21" t="s">
        <v>11</v>
      </c>
      <c r="H21" t="s">
        <v>12</v>
      </c>
    </row>
    <row r="22" spans="5:8" x14ac:dyDescent="0.3">
      <c r="E22" t="s">
        <v>18</v>
      </c>
    </row>
    <row r="23" spans="5:8" x14ac:dyDescent="0.3">
      <c r="E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</vt:lpstr>
      <vt:lpstr>Revenue</vt:lpstr>
      <vt:lpstr>P&amp;L</vt:lpstr>
      <vt:lpstr>Fixed Assets</vt:lpstr>
      <vt:lpstr>Debt Schedule</vt:lpstr>
      <vt:lpstr>Working Capital</vt:lpstr>
      <vt:lpstr>Balance Sheet</vt:lpstr>
      <vt:lpstr>Cashflow Statement</vt:lpstr>
      <vt:lpstr>Analysis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2026-03-23T13:05:23Z</dcterms:created>
  <dcterms:modified xsi:type="dcterms:W3CDTF">2026-04-12T10:35:04Z</dcterms:modified>
</cp:coreProperties>
</file>