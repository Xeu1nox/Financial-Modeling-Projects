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F:\Excel\"/>
    </mc:Choice>
  </mc:AlternateContent>
  <xr:revisionPtr revIDLastSave="0" documentId="8_{8DF3C6F7-7DD9-483F-82C6-6196BBD3D620}" xr6:coauthVersionLast="47" xr6:coauthVersionMax="47" xr10:uidLastSave="{00000000-0000-0000-0000-000000000000}"/>
  <bookViews>
    <workbookView xWindow="-120" yWindow="-120" windowWidth="29040" windowHeight="15720" tabRatio="863" activeTab="1" xr2:uid="{52213B1B-F067-4E1B-9A1D-F20FA6D0DFAA}"/>
  </bookViews>
  <sheets>
    <sheet name="Input" sheetId="1" r:id="rId1"/>
    <sheet name="View data" sheetId="11" r:id="rId2"/>
    <sheet name="Workmates Core2Cloud" sheetId="2" r:id="rId3"/>
    <sheet name="TechD Cybersecurity" sheetId="3" r:id="rId4"/>
    <sheet name="Namo eWaste Management Ltd" sheetId="4" r:id="rId5"/>
    <sheet name="Chatha Foods Ltd" sheetId="5" r:id="rId6"/>
    <sheet name="Yash Highvoltage Ltd" sheetId="6" r:id="rId7"/>
    <sheet name="Sunlite Recycling Industries Lt" sheetId="7" r:id="rId8"/>
    <sheet name="Paradeep Parivahan Ltd" sheetId="8" r:id="rId9"/>
    <sheet name="Silkflex Polymers (India) Ltd" sheetId="9"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11" l="1"/>
  <c r="D4" i="11"/>
  <c r="D5" i="11"/>
  <c r="D6" i="11"/>
  <c r="D7" i="11"/>
  <c r="D8" i="11"/>
  <c r="D9" i="11"/>
  <c r="D2" i="11"/>
  <c r="K3" i="11"/>
  <c r="K4" i="11"/>
  <c r="K5" i="11"/>
  <c r="K6" i="11"/>
  <c r="K7" i="11"/>
  <c r="K8" i="11"/>
  <c r="K9" i="11"/>
  <c r="K2" i="11"/>
  <c r="M3" i="1"/>
  <c r="I3" i="11"/>
  <c r="I4" i="11"/>
  <c r="I5" i="11"/>
  <c r="I6" i="11"/>
  <c r="I7" i="11"/>
  <c r="J7" i="11" s="1"/>
  <c r="I8" i="11"/>
  <c r="J8" i="11" s="1"/>
  <c r="I9" i="11"/>
  <c r="J9" i="11" s="1"/>
  <c r="I2" i="11"/>
  <c r="H3" i="11"/>
  <c r="H4" i="11"/>
  <c r="H5" i="11"/>
  <c r="H6" i="11"/>
  <c r="H7" i="11"/>
  <c r="H8" i="11"/>
  <c r="H9" i="11"/>
  <c r="H2" i="11"/>
  <c r="G3" i="11"/>
  <c r="J3" i="11" s="1"/>
  <c r="G4" i="11"/>
  <c r="J4" i="11" s="1"/>
  <c r="G5" i="11"/>
  <c r="J5" i="11" s="1"/>
  <c r="G6" i="11"/>
  <c r="J6" i="11" s="1"/>
  <c r="G7" i="11"/>
  <c r="G8" i="11"/>
  <c r="G9" i="11"/>
  <c r="G2" i="11"/>
  <c r="J2" i="11" s="1"/>
  <c r="F3" i="11"/>
  <c r="F4" i="11"/>
  <c r="F5" i="11"/>
  <c r="F6" i="11"/>
  <c r="F7" i="11"/>
  <c r="F8" i="11"/>
  <c r="F9" i="11"/>
  <c r="F2" i="11"/>
  <c r="E3" i="11"/>
  <c r="E4" i="11"/>
  <c r="E5" i="11"/>
  <c r="E6" i="11"/>
  <c r="E7" i="11"/>
  <c r="E8" i="11"/>
  <c r="E9" i="11"/>
  <c r="E2" i="11"/>
  <c r="C3" i="11"/>
  <c r="C4" i="11"/>
  <c r="C5" i="11"/>
  <c r="C6" i="11"/>
  <c r="C7" i="11"/>
  <c r="C8" i="11"/>
  <c r="C9" i="11"/>
  <c r="C2" i="11"/>
  <c r="O4" i="1"/>
  <c r="O5" i="1"/>
  <c r="O6" i="1"/>
  <c r="O7" i="1"/>
  <c r="O8" i="1"/>
  <c r="O9" i="1"/>
  <c r="O10" i="1"/>
  <c r="O3" i="1"/>
  <c r="B3" i="11"/>
  <c r="B4" i="11"/>
  <c r="B5" i="11"/>
  <c r="B6" i="11"/>
  <c r="B7" i="11"/>
  <c r="B8" i="11"/>
  <c r="B9" i="11"/>
  <c r="B2" i="11"/>
  <c r="M9" i="1"/>
  <c r="M6" i="1"/>
  <c r="M7" i="1"/>
  <c r="M5" i="1"/>
  <c r="M8" i="1"/>
  <c r="M10" i="1"/>
  <c r="M4" i="1"/>
</calcChain>
</file>

<file path=xl/sharedStrings.xml><?xml version="1.0" encoding="utf-8"?>
<sst xmlns="http://schemas.openxmlformats.org/spreadsheetml/2006/main" count="386" uniqueCount="194">
  <si>
    <t>Name of the companies</t>
  </si>
  <si>
    <t>Workmates Core2Cloud</t>
  </si>
  <si>
    <t>TechD Cybersecurity</t>
  </si>
  <si>
    <t>Namo eWaste Management Ltd</t>
  </si>
  <si>
    <t>Chatha Foods Ltd</t>
  </si>
  <si>
    <t>Yash Highvoltage Ltd</t>
  </si>
  <si>
    <t>Sunlite Recycling Industries Ltd</t>
  </si>
  <si>
    <t>Paradeep Parivahan Ltd</t>
  </si>
  <si>
    <t>Silkflex Polymers (India) Ltd</t>
  </si>
  <si>
    <t>Business Quality</t>
  </si>
  <si>
    <t>How does the company make money?</t>
  </si>
  <si>
    <t>Who is the customer?</t>
  </si>
  <si>
    <t>Why would the customer choose them over others?</t>
  </si>
  <si>
    <t>Edge</t>
  </si>
  <si>
    <t>What makes this company different?</t>
  </si>
  <si>
    <t>Can competitors easily copy this?</t>
  </si>
  <si>
    <t>Does it have:</t>
  </si>
  <si>
    <t>Pricing power?</t>
  </si>
  <si>
    <t>Switching costs?</t>
  </si>
  <si>
    <t>Brand?</t>
  </si>
  <si>
    <t>Tech advantage?</t>
  </si>
  <si>
    <t>Growth Filter</t>
  </si>
  <si>
    <t>Is revenue growing consistently over 3–5 years?</t>
  </si>
  <si>
    <r>
      <t xml:space="preserve">Is profit growing </t>
    </r>
    <r>
      <rPr>
        <i/>
        <sz val="11"/>
        <color theme="1"/>
        <rFont val="Calibri"/>
        <family val="2"/>
        <scheme val="minor"/>
      </rPr>
      <t>faster</t>
    </r>
    <r>
      <rPr>
        <sz val="11"/>
        <color theme="1"/>
        <rFont val="Calibri"/>
        <family val="2"/>
        <scheme val="minor"/>
      </rPr>
      <t xml:space="preserve"> than revenue?</t>
    </r>
  </si>
  <si>
    <t>What's driving growth? volume, price, new customers, or just accounting?</t>
  </si>
  <si>
    <t>Risks</t>
  </si>
  <si>
    <t>Is debt dangerously high relative to earnings?</t>
  </si>
  <si>
    <t>What breaks this business?</t>
  </si>
  <si>
    <t>This is IT service company that provides AWS services for monthly/annual subscription and selling technical expertise.</t>
  </si>
  <si>
    <t>Mid-Large enterprices that want to shift to cloud based services</t>
  </si>
  <si>
    <t>Very small</t>
  </si>
  <si>
    <t>None. It USES tech, doesn't own it</t>
  </si>
  <si>
    <t>Loss of key clients, Talent risk, AWS partnernship, no pricing power, Cashflow stress</t>
  </si>
  <si>
    <t>Name of the Company</t>
  </si>
  <si>
    <t>CFO</t>
  </si>
  <si>
    <t>Profit CAGR</t>
  </si>
  <si>
    <t>ROCE</t>
  </si>
  <si>
    <t>P/E</t>
  </si>
  <si>
    <t>Net profit margin</t>
  </si>
  <si>
    <t>ROE</t>
  </si>
  <si>
    <t>Revenue CAGR</t>
  </si>
  <si>
    <t>Debtor Days</t>
  </si>
  <si>
    <t>PEG</t>
  </si>
  <si>
    <t>Mkt Cap</t>
  </si>
  <si>
    <t>CP</t>
  </si>
  <si>
    <t>Stock P/E</t>
  </si>
  <si>
    <t>OPM%</t>
  </si>
  <si>
    <t>Sales</t>
  </si>
  <si>
    <t>NP</t>
  </si>
  <si>
    <t>Debtor days</t>
  </si>
  <si>
    <t>NPM</t>
  </si>
  <si>
    <t>My Interests</t>
  </si>
  <si>
    <t>Will this make me money?</t>
  </si>
  <si>
    <t>Is this a good business?</t>
  </si>
  <si>
    <t>WHY?</t>
  </si>
  <si>
    <t>Sell? Hold? Buy more?</t>
  </si>
  <si>
    <t>AWS Premier Partner which is one of the highest tiers AWS awards</t>
  </si>
  <si>
    <t>WS Premier Partner status is real and verified by AWS annually. It requires a minimum number of AWS-certified engineers, proven customer deployments, and passing AWS audits</t>
  </si>
  <si>
    <t>Yes but also no. Any IT company can start the journey but becoming AWS partner takes 3-5 years</t>
  </si>
  <si>
    <t>Not really, very competitive BUT Premier Partner status allows them to charge a premium over basic AWS resellers</t>
  </si>
  <si>
    <t>More than meets the eye since switching to different managed service provider means re-migrating configs. and that risks downtime. Risky for large businesses</t>
  </si>
  <si>
    <t>Yes, very fast. Clean, consistent doubling every year for 3 consecutive years</t>
  </si>
  <si>
    <t>Yes. Revenue CAGR 3yr = 103%, Profit CAGR 3yr = 141%. Profit is growing faster. Margins went from 14% to 16-17%. Operating leverage is working.</t>
  </si>
  <si>
    <t>More clients, more projects, more hiring. Employee growth was 54%</t>
  </si>
  <si>
    <t>No. Borrowings = ₹9 Cr, Net Profit TTM = ₹16 Cr. Debt is less than one year's profit. Very manageable.</t>
  </si>
  <si>
    <t>Yes, with high probability over 2-3 years. P/E is 29x</t>
  </si>
  <si>
    <t xml:space="preserve">Buy more. </t>
  </si>
  <si>
    <t>If the stock falls 30% after you buy @ CMP, what will you do?:</t>
  </si>
  <si>
    <t xml:space="preserve">Why? If stock falls from 363 to 254 then I'm getting the same growth but at cheaper price. A price movement alone is not a problem. </t>
  </si>
  <si>
    <t>Cybersecurity services company. Earns money through three streams - Security audits and compliance checks, managed security operations centre and training/certificates</t>
  </si>
  <si>
    <t>Large enterprises across BFSI, manufacturing, healthcare, aviation, IT, and government. Known clients include Adani Group, Zensar Technologies, Astral Limited. Also international clients like ETO GRUPPE Technologies (Germany) and IQM Corporation.</t>
  </si>
  <si>
    <t>CERT-In empanelment is the real differentiator. It's not self-declared. The Indian government validates it. Companies without this cannot serve government and regulated sector clients</t>
  </si>
  <si>
    <t>CERT-In, a government of India certification that authorises them to conduct cybersecurity audits for critical infrastructure</t>
  </si>
  <si>
    <t>CERT-in empanelment takes years of proven track record and govt. validation. Not something anyone can get easily. Requires significant capital investment</t>
  </si>
  <si>
    <t>Moderately good. Not exceptional like other companies which has a manufacturing moat.</t>
  </si>
  <si>
    <t>Yes. CERT-In empanelled firms can charge premium rates especially for government contracts. Cybersecurity is also non-discretionary spending for large enterprises</t>
  </si>
  <si>
    <t>High. A company running its entire security operations through TechD's SOC cannot easily switch</t>
  </si>
  <si>
    <t>Small but growing. Known within cybersecurity circles, not mainstream.</t>
  </si>
  <si>
    <t>Moderate. They have partnerships with Securonix and Seceon for advanced threat detection tools. These OEM partnerships give them technology they couldn't build themselves.</t>
  </si>
  <si>
    <t>Yes. Consistent and accelerating.</t>
  </si>
  <si>
    <t>Yes. Revenue CAGR 3yr = 132%, Profit CAGR 3yr = 194%. Profit growing significantly faster. Operating margins expanded dramatically from 4% to 38-49%, massive operating leverage.</t>
  </si>
  <si>
    <t>New enterprise clients, expanding SOC services, government contract wins, and geographic expansion including international clients</t>
  </si>
  <si>
    <t>No. Zero borrowings as of Mar 2025 and Sep 2025. Completely debt free.</t>
  </si>
  <si>
    <t>Clients not paying (debtor days at 154, if worsens then cash crisis could happen. CERT-In empanelment revoked. Cybersecurity breach at a major client. Key personnel leaving.</t>
  </si>
  <si>
    <t>Uncertain. The business is exceptional but cash flow problem creates real risk. If CFO turns positive in FY26 the stock could re-rate sharply upward. If CFO stays negative the market will eventually punish it. High risk, high reward.</t>
  </si>
  <si>
    <t>Yes! CERT-In moat, zero debt, 194% profit CAGR. The business model is genuinely strong.</t>
  </si>
  <si>
    <t>Hold and monitor</t>
  </si>
  <si>
    <t>Negative CFO is a problem. I would wait for the next quarter and if CFO turns positive then buy more otherwise sell regardless of price</t>
  </si>
  <si>
    <t>E-waste recycling company. Collects old electronics - phones, laptops, ACs, refrigerators - from corporates and individuals, disassembles them, extracts valuable materials like copper, gold, and plastics, and sells these recovered materials. Also provides ITAD (IT Asset Disposition) services to corporates - securely wiping and disposing of old IT equipment</t>
  </si>
  <si>
    <t>Corporates disposing of old IT equipment who need data security and compliance certificates and electronics manufacturers who need Extended Producer Responsibility (EPR) compliance.</t>
  </si>
  <si>
    <t>ISO certified recycler. EPR authorisation from government - mandatory for legal compliance. Corporates specifically need certified recyclers to get compliance certificates for their ESG reporting.</t>
  </si>
  <si>
    <t>EPR authorisation and ISO certification create a regulatory moat similar to TechD's CERT-In. Uncertified recyclers cannot provide the compliance certificates that corporates need</t>
  </si>
  <si>
    <t>Getting EPR authorisation takes time and government approval. Building collection logistics infrastructure takes years. So moderately difficult to copy in the short term.</t>
  </si>
  <si>
    <t>Low. E-waste recycling is driven by commodity prices of recovered materials - copper, gold, aluminium. When commodity prices fall, recovery value falls and margins compress. Limited ability to raise prices.</t>
  </si>
  <si>
    <t>Low to moderate. Corporates can switch recyclers relatively easily if another certified recycler offers better rates.</t>
  </si>
  <si>
    <t>Very small. Not known outside compliance circles.</t>
  </si>
  <si>
    <t>None meaningful.</t>
  </si>
  <si>
    <t>Yes but slowly.</t>
  </si>
  <si>
    <t>No. Revenue grew 29% TTM but profit grew only 7% TTM. Costs are eating into growth.</t>
  </si>
  <si>
    <t>Government EPR mandates forcing more corporates to use certified recyclers. Volume driven not price driven.</t>
  </si>
  <si>
    <t>No. Borrowings reduced to 3Cr. Very good</t>
  </si>
  <si>
    <t>If material prices fall then the recovery value drops. CFO was negative and if it continues then it'll need to raise debt or equity.</t>
  </si>
  <si>
    <t>Unlikely at current price. Paying 41.5x earnings for 7% profit growth is not a good decision. Risk of loss is higher than chance of meaningful gain at current price.</t>
  </si>
  <si>
    <t>Mediocre. Real regulatory tailwind from EPR mandates but margins are thin, commodity-dependent, and cash flow has deteriorated sharply. Not a compounding business.</t>
  </si>
  <si>
    <t>Sell</t>
  </si>
  <si>
    <t>Because the thesis was already weak at purchase price.  A 30% fall would put it at roughly 29x P/E for 7% growth. Still not a good buy.</t>
  </si>
  <si>
    <t>SR chains, casual dining restaurants, hotels, cafeterias. Institutional bulk buyers who need consistent supply of frozen processed food.</t>
  </si>
  <si>
    <t>Frozen and ready-to-eat food manufacturer. Makes burger patties, pizza toppings, sandwich fillings, kebabs, nuggets, and plant-based meat alternatives. Sells exclusively B2B to Quick Service Restaurants (QSRs) like Dominos, cafes, and hotel chains</t>
  </si>
  <si>
    <t>Established supplier relationships with major QSR chains. Cold chain infrastructure and food safety certifications.</t>
  </si>
  <si>
    <t>The Allana JV is the one potentially interesting development. Allana has massive cold chain infrastructure and export relationships.</t>
  </si>
  <si>
    <t>Yes. Frozen food manufacturing is not technically complex. Any food processor with the right equipment can make burger patties. The real barrier is QSR supplier approval processes which take time but are not impossible.</t>
  </si>
  <si>
    <t>Very low. QSR chains are powerful buyers who squeeze suppliers on price. Chatha has no brand with end consumers so they have zero pricing power in the supply chain.</t>
  </si>
  <si>
    <t>Low. QSR chains regularly dual-source and can switch frozen food suppliers with 3-6 months notice. No technology lock-in, no certification dependency.</t>
  </si>
  <si>
    <t>Zero with consumers</t>
  </si>
  <si>
    <t>None</t>
  </si>
  <si>
    <t>Inconsistently. Revenue actually fell from 91 Cr in FY19 to 61 Cr in FY21. Then recovered. Current revenue 167 Cr TTM - but took 5 years to get here from 91 Cr. That is very slow progress for a 28-year-old company.</t>
  </si>
  <si>
    <t>No. Revenue grew 22% over 3 years but profit grew only 1% TTM. Not a good look for a 28 years old company</t>
  </si>
  <si>
    <t>Mostly volume - more QSR outlets opening across India is lifting overall demand</t>
  </si>
  <si>
    <t>Mild concern. Borrowings back up to ₹21 Cr in Sep 2025 after being reduced. Net Profit only ₹6 Cr. Debt is 3.5x annual profit.</t>
  </si>
  <si>
    <t>QSR chains consolidating suppliers and dropping Chatha. Plant based food trend not materialising. Promoters continue to sell</t>
  </si>
  <si>
    <t>Very unlikely. For 1% profit growth we're paying 36x earnings</t>
  </si>
  <si>
    <t>No. A 28-year-old company earning ₹6 Cr profit with declining promoter confidence, no pricing power, and a history of losses in FY21 is a poor business.</t>
  </si>
  <si>
    <t>Sell immediately.</t>
  </si>
  <si>
    <t>There is no thesis to hold onto. Profits are flat, promoters are selling, institutions have reduced, cash flow turned negative, and the business has no meaningful moat. A 30% fall is the market catching up to what the fundamentals have been saying for 3 years</t>
  </si>
  <si>
    <t>Manufactures transformer bushings - a critical component inside power transformers that allows high voltage electricity to pass safely through the transformer casing. Sells to transformer manufacturers, power utilities, and electrical equipment companies. Both domestic and international customers. B2B manufacturing business.</t>
  </si>
  <si>
    <t>Transformer manufacturers (who then sell to power companies), direct sales to power utilities like state electricity boards, and industrial customers who operate large electrical equipment. International clients in Middle East, Southeast Asia, and Europe.</t>
  </si>
  <si>
    <t>Transformer bushings are technically complex - they must handle extremely high voltages without failure. A failed bushing can destroy an entire transformer worth crores. So buyers prioritise proven suppliers with track record over price. Yash has 20+ years of manufacturing experience and international certifications. Switching to a cheaper unknown supplier is too risky for buyers.</t>
  </si>
  <si>
    <t>Niche manufacturing with high technical barriers. Transformer bushings require specialised materials (Oil Impregnated Paper, Resin Impregnated Paper) and precision manufacturing. Very few Indian companies make high-voltage bushings at this quality level.</t>
  </si>
  <si>
    <t>No. High voltage transformer bushing manufacturing requires specialised equipment, material science knowledge, and years of testing and certification. A new entrant would need 5-7 years minimum to reach comparable quality levels.</t>
  </si>
  <si>
    <t>Yes. 20-22% operating margins sustained across multiple commodity and economic cycles proves genuine pricing power. Buyers cannot easily find alternatives so Yash can maintain prices.</t>
  </si>
  <si>
    <t>Very high. Once a transformer manufacturer qualifies Yash as an approved bushing supplier, switching requires re-qualification testing of a new supplier. Buyers would avoid this unless absolutely necessary</t>
  </si>
  <si>
    <t>Strong within the industry. Known internationally - they export to multiple countries which validates product quality independently.</t>
  </si>
  <si>
    <t>Yes. Manufacturing know-how built over 20 years is a real technical advantage. Not software technology but deep materials and process knowledge that cannot be replicated without years of experience.</t>
  </si>
  <si>
    <t>Yes. Clean consistent growth accelerating in recent years driven by India's massive power infrastructure expansion.</t>
  </si>
  <si>
    <t>Yes. Profit consistently outpacing revenue as operating leverage builds.</t>
  </si>
  <si>
    <t>India's power sector capex boom. Government is spending Crores on power transmission infrastructure. Every new transformer needs bushings.</t>
  </si>
  <si>
    <t>Mild. Borrowings increased very little, about one year's profit.</t>
  </si>
  <si>
    <t>Power sector capex slowdown. New well-funded competitor entering.</t>
  </si>
  <si>
    <t>Possibly but with significant timing risk.</t>
  </si>
  <si>
    <t>Yes. Genuine moat, best cash flows, strongest margins, clear structural demand tailwind. If you could buy it at 25-30x PE it would be an obvious selection.</t>
  </si>
  <si>
    <t>Hold</t>
  </si>
  <si>
    <t>The business fundamentals are intact - the moat is real, power sector capex is continuing, margins are stable. A 30% fall would bring PE from 59.6x to approximately 42x - still expensive but more justifiable. The problem is you'd be sitting on a 30% loss in a great business simply because you paid too much.</t>
  </si>
  <si>
    <t>Buys copper scrap, melts and processes it, and sells copper rods, wires, earthing strips, and conductors to electrical and power companies. Pure commodity processing business.</t>
  </si>
  <si>
    <t>Electrical cable manufacturers, power transmission companies, and electronics manufacturers who need copper rods and wires as raw material for their own production.</t>
  </si>
  <si>
    <t>Price and reliability of supply. There is no technical differentiation - copper rod is copper rod. Customers choose whoever offers the best price with consistent quality and delivery.</t>
  </si>
  <si>
    <t>Nothing meaningful. ISO 9001 certification is table stakes in manufacturing. Location in Gujarat gives some logistics advantage for western India customers. That's it.</t>
  </si>
  <si>
    <t>Yes completely. Copper recycling and rod manufacturing is not technically complex. Any company with the capital to buy the equipment can enter this business. There are already hundreds of competitors across India.</t>
  </si>
  <si>
    <t>Zero. Copper is a globally traded commodity</t>
  </si>
  <si>
    <t>Zero. Copper rod is a commodity - buyers switch suppliers based purely on price. No certification dependency, no technical lock-in.</t>
  </si>
  <si>
    <t>Irrelevent</t>
  </si>
  <si>
    <t>Yes but only due to copper price inflation, not business improvement</t>
  </si>
  <si>
    <t>Yes but not significant. On a 1882 Crore revenue earning only 22 crore profit.</t>
  </si>
  <si>
    <t>Higher copper prices globally inflating revenue, and volume expansion. Neither is a sustainable competitive advantage.</t>
  </si>
  <si>
    <t>Manageable currently, 23 crore debt with 22 crore profit.</t>
  </si>
  <si>
    <t>Copper price fall and key customers leaving</t>
  </si>
  <si>
    <t>Unlikely to generate strong returns from here.</t>
  </si>
  <si>
    <t>No. A business where raw materials are 96% of revenue and operating margins are 2% is structurally incapable of generating meaningful returns on capital over time.</t>
  </si>
  <si>
    <t>There is no business quality to fall back on. The only reason to hold a 2% margin commodity processor is if you believe copper prices will keep rising. That's speculation, not investing.</t>
  </si>
  <si>
    <t>Port logistics company operating exclusively inside Paradip Port in Odisha - one of India's largest ports handling coal, fertilisers, and bulk cargo. Revenue streams include cargo handling fees, intra-port transportation charges, stevedoring (loading and unloading ships), railway siding operations, warehousing, and crusher operations</t>
  </si>
  <si>
    <t>Companies importing bulk cargo through Paradip Port</t>
  </si>
  <si>
    <t>They cannot easily choose someone else. Paradeep Parivahan operates within the port boundary under specific port authority agreements. A competing logistics company cannot simply set up operations inside the port without separate port authority approval - a process that takes years and is not guaranteed. This is a captive location moat.</t>
  </si>
  <si>
    <t>The port location is the entire moat. Being physically inside Paradip Port and holding operational rights within the port boundary means competitors cannot displace them without Paradip Port Trust cancelling their agreement and awarding it to someone else.</t>
  </si>
  <si>
    <t>No. You cannot replicate being inside a specific port. A competitor would need to win a separate tender from Paradip Port Trust, build their own equipment inside the port, and prove operational capability - a process that would take 3-5 years minimum and is not guaranteed.</t>
  </si>
  <si>
    <t>Moderate. Port tariffs are partly regulated but Paradeep Parivahan has some flexibility in negotiating rates with cargo owners, especially for specialised services like hazardous cargo handling and crusher operations.</t>
  </si>
  <si>
    <t>Very high for cargo owners. If a coal importer has been using Paradeep Parivahan's infrastructure at Paradip Port for years, switching to another handler means coordinating with the port authority, potentially losing berth priority, and risking operational disruptions. Cargo owners avoid switching.</t>
  </si>
  <si>
    <t>Strong within the port operations and bulk logistics industry. Known to all major importers using Paradip Port.</t>
  </si>
  <si>
    <t>None in technology. The advantage is physical infrastructure - equipment, storage, and railway siding already built inside the port boundary.</t>
  </si>
  <si>
    <t>Yes and accelerating. A jump from 211cr to 336cr in FY 2025 is notable</t>
  </si>
  <si>
    <t>Yes significantly. Revenue CAGR 3yr = 21%, Profit CAGR 3yr = 107%. Profit growing 5x faster than revenue - exceptional operating leverage.</t>
  </si>
  <si>
    <t>India's coal import volumes through east coast ports increasing. Fertiliser imports rising. New services added within the port - crusher operations, expanded warehousing. Paradip Port itself is expanding capacity which directly benefits Paradeep Parivahan.</t>
  </si>
  <si>
    <t>Manageable. Borrowings = 54 Cr, Net Profit TTM = 35 Cr. Debt actually reduced from 75 Cr to 54 Cr. Positive direction.</t>
  </si>
  <si>
    <t>Paradip Port Trust cancels or doesn't renew operational agreement. Coal import volumes falls sharply and Debtor days worsen which will affect CFO.</t>
  </si>
  <si>
    <t>Yes - highest probability. PEG is 0.06, highly undervalued. PEG&lt;1 = Undervalued, PEG&gt; 1 = Overvalued.</t>
  </si>
  <si>
    <t>Yes - genuinely good. Port logistics with captive location moat, positive cash flows, and profits doubling every year is a durable business.</t>
  </si>
  <si>
    <t>Buy more aggressively.</t>
  </si>
  <si>
    <t>At current price of 140, P/E is already 6.3x. A 30% fall takes price to 98 and P/E to approximately 4.4x. You would be buying a port logistics company with captive moat, 107% profit CAGR, positive cash flows, and stable promoter holding at 4.4x earnings. That is an extraordinary opportunity.</t>
  </si>
  <si>
    <t>Pure trading company. Imports textile printing inks and water-based wood coating polymers from Silkflex Malaysia and distributes them to garment manufacturers and wood furniture companies across India. No manufacturing - they buy finished product from Malaysia and sell it in India with a markup.</t>
  </si>
  <si>
    <t>Garment manufacturers and Furniture manufacturers</t>
  </si>
  <si>
    <t>Silkflex Malaysia's products have established quality reputation in global markets - used across India, Thailand, Turkey, Russia, Sri Lanka, Bangladesh, and Indonesia.</t>
  </si>
  <si>
    <t>Exclusive or preferred distributor relationship with Silkflex Malaysia in India. If this exclusivity is real, competitors cannot source the same product.</t>
  </si>
  <si>
    <t>Depends entirely on whether the Malaysia distribution agreement is exclusive.</t>
  </si>
  <si>
    <t>Improving. Operating margins jumped from 5% to 15-21% recently. This suggests either they negotiated better terms with the Malaysian supplier, or they raised prices successfully, or product mix shifted to higher margin items.</t>
  </si>
  <si>
    <t>Moderate. Garment manufacturers who have validated specific ink formulations in their production process resist switching - re-qualification takes time and risks production quality. But if a cheaper alternative ink offers similar quality, switching is possible.</t>
  </si>
  <si>
    <t>Small. The Silkflex brand belongs to the Malaysian company, not the Indian distributor. Silkflex India as a brand has limited independent value.</t>
  </si>
  <si>
    <t>None. Trading someone else's product</t>
  </si>
  <si>
    <t>Yes. Accelerating in recent years</t>
  </si>
  <si>
    <t>Yes dramatically. Revenue CAGR 3yr = 42%, Profit CAGR 3yr = 116%. The recent margin expansion from 5% to 15-21% is driving profit growth far ahead of revenue growth.</t>
  </si>
  <si>
    <t>Volume expansion as more Indian textile and furniture manufacturers adopt Silkflex products. Possibly geographic expansion into new cities.</t>
  </si>
  <si>
    <t>Yes. Debt is nearly 8x annual profits.</t>
  </si>
  <si>
    <t>Silkflex Malaysia terminates the distribution agreement. CFO stays negative.</t>
  </si>
  <si>
    <t>Risky but yes</t>
  </si>
  <si>
    <t>Kind of. Recent margin improvement is interesting</t>
  </si>
  <si>
    <t>Sell.</t>
  </si>
  <si>
    <t>The thesis for Silkflex is thin - it rests entirely on recent margin improvement being sustained and manufacturing capex paying off. A 30% fall would likely indicate that either margins are reverting or the cash flow problem is worsening. Since the business has no hard moat to fall back on - no regulatory certification, no captive location, no manufacturing IP - there is nothing to protect you on the downside. Cut the loss and redeploy capital into businesses with clearer, more durable advantages.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</si>
</sst>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439]* #,##0_ ;_ [$₹-439]* \-#,##0_ ;_ [$₹-439]* &quot;-&quot;_ ;_ @_ "/>
    <numFmt numFmtId="165" formatCode="0.0%"/>
    <numFmt numFmtId="166" formatCode="0.0"/>
    <numFmt numFmtId="167" formatCode="_ [$₹-439]* #,##0.0_ ;_ [$₹-439]* \-#,##0.0_ ;_ [$₹-439]* &quot;-&quot;_ ;_ @_ "/>
  </numFmts>
  <fonts count="6" x14ac:knownFonts="1">
    <font>
      <sz val="11"/>
      <color theme="1"/>
      <name val="Calibri"/>
      <family val="2"/>
      <scheme val="minor"/>
    </font>
    <font>
      <b/>
      <sz val="11"/>
      <color theme="1"/>
      <name val="Calibri"/>
      <family val="2"/>
      <scheme val="minor"/>
    </font>
    <font>
      <i/>
      <sz val="11"/>
      <color theme="1"/>
      <name val="Calibri"/>
      <family val="2"/>
      <scheme val="minor"/>
    </font>
    <font>
      <b/>
      <sz val="11"/>
      <color indexed="8"/>
      <name val="Calibri"/>
      <family val="2"/>
      <scheme val="minor"/>
    </font>
    <font>
      <sz val="11"/>
      <color theme="1"/>
      <name val="Calibri"/>
      <family val="2"/>
      <scheme val="minor"/>
    </font>
    <font>
      <u/>
      <sz val="11"/>
      <color theme="1"/>
      <name val="Calibri"/>
      <family val="2"/>
      <scheme val="minor"/>
    </font>
  </fonts>
  <fills count="7">
    <fill>
      <patternFill patternType="none"/>
    </fill>
    <fill>
      <patternFill patternType="gray125"/>
    </fill>
    <fill>
      <patternFill patternType="solid">
        <fgColor theme="6"/>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7">
    <xf numFmtId="0" fontId="0" fillId="0" borderId="0" xfId="0"/>
    <xf numFmtId="0" fontId="1" fillId="0" borderId="0" xfId="0" applyFont="1"/>
    <xf numFmtId="0" fontId="0" fillId="0" borderId="0" xfId="0" applyAlignment="1">
      <alignment horizontal="left" vertical="center" indent="1"/>
    </xf>
    <xf numFmtId="0" fontId="3" fillId="0" borderId="0" xfId="0" applyFont="1"/>
    <xf numFmtId="0" fontId="0" fillId="0" borderId="0" xfId="0" applyAlignment="1">
      <alignment horizontal="center"/>
    </xf>
    <xf numFmtId="0" fontId="1" fillId="2" borderId="0" xfId="0" applyFont="1" applyFill="1" applyAlignment="1">
      <alignment horizontal="center"/>
    </xf>
    <xf numFmtId="0" fontId="0" fillId="3" borderId="0" xfId="0" applyFill="1" applyAlignment="1">
      <alignment horizontal="center"/>
    </xf>
    <xf numFmtId="0" fontId="0" fillId="4" borderId="0" xfId="0" applyFill="1" applyAlignment="1">
      <alignment horizontal="center"/>
    </xf>
    <xf numFmtId="0" fontId="1" fillId="5" borderId="0" xfId="0" applyFont="1" applyFill="1"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165" fontId="0" fillId="0" borderId="0" xfId="0" applyNumberFormat="1" applyAlignment="1">
      <alignment horizontal="center"/>
    </xf>
    <xf numFmtId="2" fontId="0" fillId="0" borderId="0" xfId="0" applyNumberFormat="1" applyAlignment="1">
      <alignment horizontal="center"/>
    </xf>
    <xf numFmtId="166" fontId="0" fillId="0" borderId="0" xfId="0" applyNumberFormat="1" applyAlignment="1">
      <alignment horizontal="center"/>
    </xf>
    <xf numFmtId="165" fontId="0" fillId="0" borderId="0" xfId="1" applyNumberFormat="1" applyFont="1" applyAlignment="1">
      <alignment horizontal="center"/>
    </xf>
    <xf numFmtId="37" fontId="0" fillId="0" borderId="0" xfId="0" applyNumberFormat="1" applyAlignment="1">
      <alignment horizontal="center"/>
    </xf>
    <xf numFmtId="167" fontId="0" fillId="0" borderId="0" xfId="0" applyNumberFormat="1" applyAlignment="1">
      <alignment horizontal="center"/>
    </xf>
    <xf numFmtId="37" fontId="0" fillId="3" borderId="0" xfId="0" applyNumberFormat="1" applyFill="1" applyAlignment="1">
      <alignment horizontal="center"/>
    </xf>
    <xf numFmtId="2" fontId="0" fillId="3" borderId="0" xfId="0" applyNumberFormat="1" applyFill="1" applyAlignment="1">
      <alignment horizontal="center"/>
    </xf>
    <xf numFmtId="166" fontId="0" fillId="3" borderId="0" xfId="0" applyNumberFormat="1" applyFill="1" applyAlignment="1">
      <alignment horizontal="center"/>
    </xf>
    <xf numFmtId="9" fontId="1" fillId="5" borderId="0" xfId="1" applyFont="1" applyFill="1" applyAlignment="1">
      <alignment horizontal="center"/>
    </xf>
    <xf numFmtId="9" fontId="0" fillId="3" borderId="0" xfId="1" applyFont="1" applyFill="1" applyAlignment="1">
      <alignment horizontal="center"/>
    </xf>
    <xf numFmtId="165" fontId="1" fillId="5" borderId="0" xfId="1" applyNumberFormat="1" applyFont="1" applyFill="1" applyAlignment="1">
      <alignment horizontal="center"/>
    </xf>
    <xf numFmtId="165" fontId="0" fillId="3" borderId="0" xfId="1" applyNumberFormat="1" applyFont="1" applyFill="1" applyAlignment="1">
      <alignment horizontal="center"/>
    </xf>
    <xf numFmtId="0" fontId="1" fillId="6" borderId="0" xfId="0" applyFont="1" applyFill="1" applyAlignment="1">
      <alignment horizontal="center"/>
    </xf>
    <xf numFmtId="0" fontId="0" fillId="6" borderId="0" xfId="0" applyFill="1" applyAlignment="1">
      <alignment horizontal="center"/>
    </xf>
    <xf numFmtId="0" fontId="5" fillId="0" borderId="0" xfId="0" applyFont="1"/>
  </cellXfs>
  <cellStyles count="2">
    <cellStyle name="Normal" xfId="0" builtinId="0"/>
    <cellStyle name="Per cent" xfId="1" builtinId="5"/>
  </cellStyles>
  <dxfs count="32">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patternType="solid">
          <bgColor theme="0"/>
        </patternFill>
      </fill>
      <border>
        <vertical/>
        <horizontal/>
      </border>
    </dxf>
    <dxf>
      <fill>
        <patternFill>
          <bgColor rgb="FFFFC7CE"/>
        </patternFill>
      </fill>
    </dxf>
    <dxf>
      <font>
        <color rgb="FF006100"/>
      </font>
      <fill>
        <patternFill>
          <bgColor rgb="FFC6EFCE"/>
        </patternFill>
      </fill>
    </dxf>
  </dxfs>
  <tableStyles count="0" defaultTableStyle="TableStyleMedium2" defaultPivotStyle="PivotStyleLight16"/>
  <colors>
    <mruColors>
      <color rgb="FFD2181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FE7AA-01AA-44AB-B64C-C173AEECA7FE}">
  <dimension ref="A1:Q11"/>
  <sheetViews>
    <sheetView showGridLines="0" zoomScale="130" zoomScaleNormal="130" workbookViewId="0">
      <selection activeCell="J9" sqref="J9"/>
    </sheetView>
  </sheetViews>
  <sheetFormatPr defaultRowHeight="15" x14ac:dyDescent="0.25"/>
  <cols>
    <col min="1" max="1" width="32" customWidth="1"/>
    <col min="2" max="2" width="10.28515625" customWidth="1"/>
    <col min="8" max="8" width="9.42578125" customWidth="1"/>
    <col min="9" max="9" width="7.140625" customWidth="1"/>
    <col min="10" max="10" width="20.28515625" bestFit="1" customWidth="1"/>
    <col min="11" max="11" width="17.42578125" bestFit="1" customWidth="1"/>
    <col min="14" max="14" width="11.5703125" bestFit="1" customWidth="1"/>
    <col min="15" max="15" width="11.7109375" bestFit="1" customWidth="1"/>
    <col min="16" max="16" width="11" bestFit="1" customWidth="1"/>
  </cols>
  <sheetData>
    <row r="1" spans="1:17" x14ac:dyDescent="0.25">
      <c r="A1" s="1" t="s">
        <v>0</v>
      </c>
      <c r="B1" s="4" t="s">
        <v>43</v>
      </c>
      <c r="C1" s="4" t="s">
        <v>44</v>
      </c>
      <c r="D1" s="4" t="s">
        <v>36</v>
      </c>
      <c r="E1" s="4" t="s">
        <v>45</v>
      </c>
      <c r="F1" s="4" t="s">
        <v>39</v>
      </c>
      <c r="G1" s="4" t="s">
        <v>46</v>
      </c>
      <c r="H1" s="4" t="s">
        <v>47</v>
      </c>
      <c r="I1" s="4" t="s">
        <v>48</v>
      </c>
      <c r="J1" s="4" t="s">
        <v>40</v>
      </c>
      <c r="K1" s="4" t="s">
        <v>35</v>
      </c>
      <c r="L1" s="4" t="s">
        <v>34</v>
      </c>
      <c r="M1" s="4" t="s">
        <v>42</v>
      </c>
      <c r="N1" s="4" t="s">
        <v>49</v>
      </c>
      <c r="O1" s="4" t="s">
        <v>50</v>
      </c>
      <c r="P1" s="4"/>
      <c r="Q1" s="4"/>
    </row>
    <row r="3" spans="1:17" x14ac:dyDescent="0.25">
      <c r="A3" t="s">
        <v>1</v>
      </c>
      <c r="B3" s="16">
        <v>469</v>
      </c>
      <c r="C3" s="16">
        <v>363</v>
      </c>
      <c r="D3" s="11">
        <v>0.92300000000000004</v>
      </c>
      <c r="E3" s="4">
        <v>29.2</v>
      </c>
      <c r="F3" s="10">
        <v>0.875</v>
      </c>
      <c r="G3" s="11">
        <v>0.16</v>
      </c>
      <c r="H3" s="16">
        <v>134</v>
      </c>
      <c r="I3" s="9">
        <v>16</v>
      </c>
      <c r="J3" s="11">
        <v>1.04</v>
      </c>
      <c r="K3" s="11">
        <v>1.23</v>
      </c>
      <c r="L3" s="15">
        <v>5</v>
      </c>
      <c r="M3" s="12">
        <f t="shared" ref="M3:M10" si="0">(E3/K3)/100</f>
        <v>0.23739837398373984</v>
      </c>
      <c r="N3" s="4">
        <v>84</v>
      </c>
      <c r="O3" s="13">
        <f>I3/H3*100</f>
        <v>11.940298507462686</v>
      </c>
    </row>
    <row r="4" spans="1:17" x14ac:dyDescent="0.25">
      <c r="A4" t="s">
        <v>2</v>
      </c>
      <c r="B4" s="16">
        <v>442</v>
      </c>
      <c r="C4" s="16">
        <v>591</v>
      </c>
      <c r="D4" s="10">
        <v>0.81499999999999995</v>
      </c>
      <c r="E4" s="4">
        <v>46.8</v>
      </c>
      <c r="F4" s="11">
        <v>0.62</v>
      </c>
      <c r="G4" s="11">
        <v>0.38</v>
      </c>
      <c r="H4" s="16">
        <v>18</v>
      </c>
      <c r="I4" s="9">
        <v>6</v>
      </c>
      <c r="J4" s="11">
        <v>1.32</v>
      </c>
      <c r="K4" s="11">
        <v>1.94</v>
      </c>
      <c r="L4" s="15">
        <v>-2</v>
      </c>
      <c r="M4" s="12">
        <f t="shared" si="0"/>
        <v>0.24123711340206186</v>
      </c>
      <c r="N4" s="4">
        <v>154</v>
      </c>
      <c r="O4" s="13">
        <f t="shared" ref="O4:O10" si="1">I4/H4*100</f>
        <v>33.333333333333329</v>
      </c>
    </row>
    <row r="5" spans="1:17" x14ac:dyDescent="0.25">
      <c r="A5" t="s">
        <v>3</v>
      </c>
      <c r="B5" s="16">
        <v>420</v>
      </c>
      <c r="C5" s="16">
        <v>184</v>
      </c>
      <c r="D5" s="14">
        <v>0.191</v>
      </c>
      <c r="E5" s="4">
        <v>41.5</v>
      </c>
      <c r="F5" s="14">
        <v>0.13800000000000001</v>
      </c>
      <c r="G5" s="11">
        <v>0.1</v>
      </c>
      <c r="H5" s="16">
        <v>170</v>
      </c>
      <c r="I5" s="9">
        <v>10</v>
      </c>
      <c r="J5" s="11">
        <v>0.28999999999999998</v>
      </c>
      <c r="K5" s="11">
        <v>7.0000000000000007E-2</v>
      </c>
      <c r="L5" s="15">
        <v>-20</v>
      </c>
      <c r="M5" s="12">
        <f t="shared" si="0"/>
        <v>5.9285714285714279</v>
      </c>
      <c r="N5" s="4">
        <v>31</v>
      </c>
      <c r="O5" s="13">
        <f t="shared" si="1"/>
        <v>5.8823529411764701</v>
      </c>
    </row>
    <row r="6" spans="1:17" x14ac:dyDescent="0.25">
      <c r="A6" t="s">
        <v>4</v>
      </c>
      <c r="B6" s="16">
        <v>218</v>
      </c>
      <c r="C6" s="16">
        <v>90.5</v>
      </c>
      <c r="D6" s="14">
        <v>0.11899999999999999</v>
      </c>
      <c r="E6" s="4">
        <v>36.200000000000003</v>
      </c>
      <c r="F6" s="14">
        <v>8.6400000000000005E-2</v>
      </c>
      <c r="G6" s="11">
        <v>7.0000000000000007E-2</v>
      </c>
      <c r="H6" s="16">
        <v>167</v>
      </c>
      <c r="I6" s="9">
        <v>6</v>
      </c>
      <c r="J6" s="11">
        <v>0.22</v>
      </c>
      <c r="K6" s="11">
        <v>0.01</v>
      </c>
      <c r="L6" s="15">
        <v>-1</v>
      </c>
      <c r="M6" s="12">
        <f t="shared" si="0"/>
        <v>36.200000000000003</v>
      </c>
      <c r="N6" s="4">
        <v>53</v>
      </c>
      <c r="O6" s="13">
        <f t="shared" si="1"/>
        <v>3.5928143712574849</v>
      </c>
    </row>
    <row r="7" spans="1:17" x14ac:dyDescent="0.25">
      <c r="A7" t="s">
        <v>5</v>
      </c>
      <c r="B7" s="16">
        <v>1731</v>
      </c>
      <c r="C7" s="16">
        <v>606</v>
      </c>
      <c r="D7" s="14">
        <v>0.28499999999999998</v>
      </c>
      <c r="E7" s="4">
        <v>59.6</v>
      </c>
      <c r="F7" s="14">
        <v>0.22600000000000001</v>
      </c>
      <c r="G7" s="11">
        <v>0.22</v>
      </c>
      <c r="H7" s="16">
        <v>193</v>
      </c>
      <c r="I7" s="9">
        <v>29</v>
      </c>
      <c r="J7" s="11">
        <v>0.65</v>
      </c>
      <c r="K7" s="11">
        <v>0.35</v>
      </c>
      <c r="L7" s="15">
        <v>9</v>
      </c>
      <c r="M7" s="12">
        <f t="shared" si="0"/>
        <v>1.7028571428571431</v>
      </c>
      <c r="N7" s="4">
        <v>68</v>
      </c>
      <c r="O7" s="13">
        <f t="shared" si="1"/>
        <v>15.025906735751295</v>
      </c>
    </row>
    <row r="8" spans="1:17" x14ac:dyDescent="0.25">
      <c r="A8" t="s">
        <v>6</v>
      </c>
      <c r="B8" s="16">
        <v>643</v>
      </c>
      <c r="C8" s="16">
        <v>466</v>
      </c>
      <c r="D8" s="14">
        <v>0.36099999999999999</v>
      </c>
      <c r="E8" s="4">
        <v>29.8</v>
      </c>
      <c r="F8" s="14">
        <v>0.36</v>
      </c>
      <c r="G8" s="11">
        <v>0.02</v>
      </c>
      <c r="H8" s="16">
        <v>1882</v>
      </c>
      <c r="I8" s="9">
        <v>22</v>
      </c>
      <c r="J8" s="11">
        <v>0.56999999999999995</v>
      </c>
      <c r="K8" s="11">
        <v>0.82</v>
      </c>
      <c r="L8" s="15">
        <v>8</v>
      </c>
      <c r="M8" s="12">
        <f t="shared" si="0"/>
        <v>0.36341463414634151</v>
      </c>
      <c r="N8" s="4">
        <v>5</v>
      </c>
      <c r="O8" s="13">
        <f t="shared" si="1"/>
        <v>1.1689691817215728</v>
      </c>
    </row>
    <row r="9" spans="1:17" x14ac:dyDescent="0.25">
      <c r="A9" t="s">
        <v>7</v>
      </c>
      <c r="B9" s="16">
        <v>223</v>
      </c>
      <c r="C9" s="16">
        <v>140</v>
      </c>
      <c r="D9" s="14">
        <v>0.23699999999999999</v>
      </c>
      <c r="E9" s="4">
        <v>6.3</v>
      </c>
      <c r="F9" s="14">
        <v>0.26200000000000001</v>
      </c>
      <c r="G9" s="11">
        <v>0.15</v>
      </c>
      <c r="H9" s="16">
        <v>178</v>
      </c>
      <c r="I9" s="9">
        <v>16</v>
      </c>
      <c r="J9" s="11">
        <v>0.21</v>
      </c>
      <c r="K9" s="11">
        <v>1.07</v>
      </c>
      <c r="L9" s="15">
        <v>4</v>
      </c>
      <c r="M9" s="12">
        <f t="shared" si="0"/>
        <v>5.8878504672897194E-2</v>
      </c>
      <c r="N9" s="4">
        <v>98</v>
      </c>
      <c r="O9" s="13">
        <f t="shared" si="1"/>
        <v>8.9887640449438209</v>
      </c>
    </row>
    <row r="10" spans="1:17" x14ac:dyDescent="0.25">
      <c r="A10" t="s">
        <v>8</v>
      </c>
      <c r="B10" s="16">
        <v>170</v>
      </c>
      <c r="C10" s="16">
        <v>147</v>
      </c>
      <c r="D10" s="14">
        <v>0.24099999999999999</v>
      </c>
      <c r="E10" s="4">
        <v>18.100000000000001</v>
      </c>
      <c r="F10" s="14">
        <v>0.29199999999999998</v>
      </c>
      <c r="G10" s="11">
        <v>0.14949999999999999</v>
      </c>
      <c r="H10" s="16">
        <v>80.13</v>
      </c>
      <c r="I10" s="9">
        <v>7</v>
      </c>
      <c r="J10" s="11">
        <v>0.42</v>
      </c>
      <c r="K10" s="11">
        <v>1.1599999999999999</v>
      </c>
      <c r="L10" s="15">
        <v>-30.23</v>
      </c>
      <c r="M10" s="12">
        <f t="shared" si="0"/>
        <v>0.15603448275862072</v>
      </c>
      <c r="N10" s="4">
        <v>46</v>
      </c>
      <c r="O10" s="13">
        <f t="shared" si="1"/>
        <v>8.7358043179832769</v>
      </c>
    </row>
    <row r="11" spans="1:17" x14ac:dyDescent="0.25">
      <c r="M11" s="1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9FB17-19A5-4040-B83B-84B08B674172}">
  <dimension ref="A1:L22"/>
  <sheetViews>
    <sheetView showGridLines="0" tabSelected="1" zoomScale="160" zoomScaleNormal="160" workbookViewId="0">
      <selection activeCell="D14" sqref="D14"/>
    </sheetView>
  </sheetViews>
  <sheetFormatPr defaultRowHeight="15" x14ac:dyDescent="0.25"/>
  <cols>
    <col min="1" max="1" width="37.28515625" customWidth="1"/>
    <col min="2" max="2" width="10.42578125" customWidth="1"/>
    <col min="3" max="3" width="16.42578125" bestFit="1" customWidth="1"/>
    <col min="4" max="4" width="12.5703125" customWidth="1"/>
    <col min="5" max="5" width="11.28515625" bestFit="1" customWidth="1"/>
    <col min="6" max="6" width="10.85546875" customWidth="1"/>
    <col min="7" max="7" width="12.28515625" customWidth="1"/>
    <col min="8" max="8" width="14.42578125" bestFit="1" customWidth="1"/>
    <col min="9" max="10" width="9.42578125" customWidth="1"/>
    <col min="11" max="12" width="11.7109375" bestFit="1" customWidth="1"/>
  </cols>
  <sheetData>
    <row r="1" spans="1:12" x14ac:dyDescent="0.25">
      <c r="A1" s="5" t="s">
        <v>33</v>
      </c>
      <c r="B1" s="8" t="s">
        <v>34</v>
      </c>
      <c r="C1" s="8" t="s">
        <v>38</v>
      </c>
      <c r="D1" s="8" t="s">
        <v>46</v>
      </c>
      <c r="E1" s="22" t="s">
        <v>36</v>
      </c>
      <c r="F1" s="20" t="s">
        <v>39</v>
      </c>
      <c r="G1" s="8" t="s">
        <v>35</v>
      </c>
      <c r="H1" s="8" t="s">
        <v>40</v>
      </c>
      <c r="I1" s="8" t="s">
        <v>37</v>
      </c>
      <c r="J1" s="8" t="s">
        <v>42</v>
      </c>
      <c r="K1" s="8" t="s">
        <v>41</v>
      </c>
      <c r="L1" s="24"/>
    </row>
    <row r="2" spans="1:12" x14ac:dyDescent="0.25">
      <c r="A2" s="7" t="s">
        <v>1</v>
      </c>
      <c r="B2" s="17">
        <f>Input!L3</f>
        <v>5</v>
      </c>
      <c r="C2" s="19">
        <f>Input!O3</f>
        <v>11.940298507462686</v>
      </c>
      <c r="D2" s="21">
        <f>Input!G3</f>
        <v>0.16</v>
      </c>
      <c r="E2" s="23">
        <f>Input!D3</f>
        <v>0.92300000000000004</v>
      </c>
      <c r="F2" s="23">
        <f>Input!F3</f>
        <v>0.875</v>
      </c>
      <c r="G2" s="21">
        <f>Input!K3</f>
        <v>1.23</v>
      </c>
      <c r="H2" s="21">
        <f>Input!J3</f>
        <v>1.04</v>
      </c>
      <c r="I2" s="6">
        <f>Input!E3</f>
        <v>29.2</v>
      </c>
      <c r="J2" s="18">
        <f>(I2/G2)/100</f>
        <v>0.23739837398373984</v>
      </c>
      <c r="K2" s="6">
        <f>Input!N3</f>
        <v>84</v>
      </c>
      <c r="L2" s="25"/>
    </row>
    <row r="3" spans="1:12" x14ac:dyDescent="0.25">
      <c r="A3" s="7" t="s">
        <v>2</v>
      </c>
      <c r="B3" s="17">
        <f>Input!L4</f>
        <v>-2</v>
      </c>
      <c r="C3" s="19">
        <f>Input!O4</f>
        <v>33.333333333333329</v>
      </c>
      <c r="D3" s="21">
        <f>Input!G4</f>
        <v>0.38</v>
      </c>
      <c r="E3" s="23">
        <f>Input!D4</f>
        <v>0.81499999999999995</v>
      </c>
      <c r="F3" s="23">
        <f>Input!F4</f>
        <v>0.62</v>
      </c>
      <c r="G3" s="21">
        <f>Input!K4</f>
        <v>1.94</v>
      </c>
      <c r="H3" s="21">
        <f>Input!J4</f>
        <v>1.32</v>
      </c>
      <c r="I3" s="6">
        <f>Input!E4</f>
        <v>46.8</v>
      </c>
      <c r="J3" s="18">
        <f t="shared" ref="J3:J9" si="0">(I3/G3)/100</f>
        <v>0.24123711340206186</v>
      </c>
      <c r="K3" s="6">
        <f>Input!N4</f>
        <v>154</v>
      </c>
      <c r="L3" s="25"/>
    </row>
    <row r="4" spans="1:12" x14ac:dyDescent="0.25">
      <c r="A4" s="7" t="s">
        <v>3</v>
      </c>
      <c r="B4" s="17">
        <f>Input!L5</f>
        <v>-20</v>
      </c>
      <c r="C4" s="19">
        <f>Input!O5</f>
        <v>5.8823529411764701</v>
      </c>
      <c r="D4" s="21">
        <f>Input!G5</f>
        <v>0.1</v>
      </c>
      <c r="E4" s="23">
        <f>Input!D5</f>
        <v>0.191</v>
      </c>
      <c r="F4" s="23">
        <f>Input!F5</f>
        <v>0.13800000000000001</v>
      </c>
      <c r="G4" s="21">
        <f>Input!K5</f>
        <v>7.0000000000000007E-2</v>
      </c>
      <c r="H4" s="21">
        <f>Input!J5</f>
        <v>0.28999999999999998</v>
      </c>
      <c r="I4" s="6">
        <f>Input!E5</f>
        <v>41.5</v>
      </c>
      <c r="J4" s="18">
        <f t="shared" si="0"/>
        <v>5.9285714285714279</v>
      </c>
      <c r="K4" s="6">
        <f>Input!N5</f>
        <v>31</v>
      </c>
      <c r="L4" s="25"/>
    </row>
    <row r="5" spans="1:12" x14ac:dyDescent="0.25">
      <c r="A5" s="7" t="s">
        <v>4</v>
      </c>
      <c r="B5" s="17">
        <f>Input!L6</f>
        <v>-1</v>
      </c>
      <c r="C5" s="19">
        <f>Input!O6</f>
        <v>3.5928143712574849</v>
      </c>
      <c r="D5" s="21">
        <f>Input!G6</f>
        <v>7.0000000000000007E-2</v>
      </c>
      <c r="E5" s="23">
        <f>Input!D6</f>
        <v>0.11899999999999999</v>
      </c>
      <c r="F5" s="23">
        <f>Input!F6</f>
        <v>8.6400000000000005E-2</v>
      </c>
      <c r="G5" s="21">
        <f>Input!K6</f>
        <v>0.01</v>
      </c>
      <c r="H5" s="21">
        <f>Input!J6</f>
        <v>0.22</v>
      </c>
      <c r="I5" s="6">
        <f>Input!E6</f>
        <v>36.200000000000003</v>
      </c>
      <c r="J5" s="18">
        <f t="shared" si="0"/>
        <v>36.200000000000003</v>
      </c>
      <c r="K5" s="6">
        <f>Input!N6</f>
        <v>53</v>
      </c>
      <c r="L5" s="25"/>
    </row>
    <row r="6" spans="1:12" x14ac:dyDescent="0.25">
      <c r="A6" s="7" t="s">
        <v>5</v>
      </c>
      <c r="B6" s="17">
        <f>Input!L7</f>
        <v>9</v>
      </c>
      <c r="C6" s="19">
        <f>Input!O7</f>
        <v>15.025906735751295</v>
      </c>
      <c r="D6" s="21">
        <f>Input!G7</f>
        <v>0.22</v>
      </c>
      <c r="E6" s="23">
        <f>Input!D7</f>
        <v>0.28499999999999998</v>
      </c>
      <c r="F6" s="23">
        <f>Input!F7</f>
        <v>0.22600000000000001</v>
      </c>
      <c r="G6" s="21">
        <f>Input!K7</f>
        <v>0.35</v>
      </c>
      <c r="H6" s="21">
        <f>Input!J7</f>
        <v>0.65</v>
      </c>
      <c r="I6" s="6">
        <f>Input!E7</f>
        <v>59.6</v>
      </c>
      <c r="J6" s="18">
        <f>(I6/G6)/100</f>
        <v>1.7028571428571431</v>
      </c>
      <c r="K6" s="6">
        <f>Input!N7</f>
        <v>68</v>
      </c>
      <c r="L6" s="25"/>
    </row>
    <row r="7" spans="1:12" x14ac:dyDescent="0.25">
      <c r="A7" s="7" t="s">
        <v>6</v>
      </c>
      <c r="B7" s="17">
        <f>Input!L8</f>
        <v>8</v>
      </c>
      <c r="C7" s="19">
        <f>Input!O8</f>
        <v>1.1689691817215728</v>
      </c>
      <c r="D7" s="21">
        <f>Input!G8</f>
        <v>0.02</v>
      </c>
      <c r="E7" s="23">
        <f>Input!D8</f>
        <v>0.36099999999999999</v>
      </c>
      <c r="F7" s="23">
        <f>Input!F8</f>
        <v>0.36</v>
      </c>
      <c r="G7" s="21">
        <f>Input!K8</f>
        <v>0.82</v>
      </c>
      <c r="H7" s="21">
        <f>Input!J8</f>
        <v>0.56999999999999995</v>
      </c>
      <c r="I7" s="6">
        <f>Input!E8</f>
        <v>29.8</v>
      </c>
      <c r="J7" s="18">
        <f t="shared" si="0"/>
        <v>0.36341463414634151</v>
      </c>
      <c r="K7" s="6">
        <f>Input!N8</f>
        <v>5</v>
      </c>
      <c r="L7" s="25"/>
    </row>
    <row r="8" spans="1:12" x14ac:dyDescent="0.25">
      <c r="A8" s="7" t="s">
        <v>7</v>
      </c>
      <c r="B8" s="17">
        <f>Input!L9</f>
        <v>4</v>
      </c>
      <c r="C8" s="19">
        <f>Input!O9</f>
        <v>8.9887640449438209</v>
      </c>
      <c r="D8" s="21">
        <f>Input!G9</f>
        <v>0.15</v>
      </c>
      <c r="E8" s="23">
        <f>Input!D9</f>
        <v>0.23699999999999999</v>
      </c>
      <c r="F8" s="23">
        <f>Input!F9</f>
        <v>0.26200000000000001</v>
      </c>
      <c r="G8" s="21">
        <f>Input!K9</f>
        <v>1.07</v>
      </c>
      <c r="H8" s="21">
        <f>Input!J9</f>
        <v>0.21</v>
      </c>
      <c r="I8" s="6">
        <f>Input!E9</f>
        <v>6.3</v>
      </c>
      <c r="J8" s="18">
        <f t="shared" si="0"/>
        <v>5.8878504672897194E-2</v>
      </c>
      <c r="K8" s="6">
        <f>Input!N9</f>
        <v>98</v>
      </c>
      <c r="L8" s="25"/>
    </row>
    <row r="9" spans="1:12" x14ac:dyDescent="0.25">
      <c r="A9" s="7" t="s">
        <v>8</v>
      </c>
      <c r="B9" s="17">
        <f>Input!L10</f>
        <v>-30.23</v>
      </c>
      <c r="C9" s="19">
        <f>Input!O10</f>
        <v>8.7358043179832769</v>
      </c>
      <c r="D9" s="21">
        <f>Input!G10</f>
        <v>0.14949999999999999</v>
      </c>
      <c r="E9" s="23">
        <f>Input!D10</f>
        <v>0.24099999999999999</v>
      </c>
      <c r="F9" s="23">
        <f>Input!F10</f>
        <v>0.29199999999999998</v>
      </c>
      <c r="G9" s="21">
        <f>Input!K10</f>
        <v>1.1599999999999999</v>
      </c>
      <c r="H9" s="21">
        <f>Input!J10</f>
        <v>0.42</v>
      </c>
      <c r="I9" s="6">
        <f>Input!E10</f>
        <v>18.100000000000001</v>
      </c>
      <c r="J9" s="18">
        <f t="shared" si="0"/>
        <v>0.15603448275862072</v>
      </c>
      <c r="K9" s="6">
        <f>Input!N10</f>
        <v>46</v>
      </c>
      <c r="L9" s="25"/>
    </row>
    <row r="10" spans="1:12" x14ac:dyDescent="0.25">
      <c r="A10" s="4"/>
      <c r="B10" s="4"/>
      <c r="C10" s="4"/>
      <c r="D10" s="4"/>
      <c r="E10" s="4"/>
      <c r="F10" s="4"/>
      <c r="G10" s="4"/>
      <c r="H10" s="4"/>
      <c r="I10" s="4"/>
      <c r="J10" s="4"/>
      <c r="K10" s="4"/>
      <c r="L10" s="4"/>
    </row>
    <row r="11" spans="1:12" x14ac:dyDescent="0.25">
      <c r="A11" s="4"/>
      <c r="B11" s="4"/>
      <c r="C11" s="4"/>
      <c r="D11" s="4"/>
      <c r="E11" s="4"/>
      <c r="F11" s="4"/>
      <c r="G11" s="4"/>
      <c r="H11" s="4"/>
      <c r="I11" s="4"/>
      <c r="J11" s="4"/>
      <c r="K11" s="4"/>
      <c r="L11" s="4"/>
    </row>
    <row r="12" spans="1:12" x14ac:dyDescent="0.25">
      <c r="A12" s="4"/>
      <c r="B12" s="4"/>
      <c r="C12" s="4"/>
      <c r="D12" s="4"/>
      <c r="E12" s="4"/>
      <c r="F12" s="4"/>
      <c r="G12" s="4"/>
      <c r="H12" s="4"/>
      <c r="I12" s="4"/>
      <c r="J12" s="4"/>
      <c r="K12" s="4"/>
      <c r="L12" s="4"/>
    </row>
    <row r="13" spans="1:12" x14ac:dyDescent="0.25">
      <c r="A13" s="4"/>
      <c r="B13" s="4"/>
      <c r="C13" s="4"/>
      <c r="D13" s="4"/>
      <c r="E13" s="4"/>
      <c r="F13" s="4"/>
      <c r="G13" s="4"/>
      <c r="H13" s="4"/>
      <c r="I13" s="4"/>
      <c r="J13" s="4"/>
      <c r="K13" s="4"/>
      <c r="L13" s="4"/>
    </row>
    <row r="14" spans="1:12" x14ac:dyDescent="0.25">
      <c r="A14" s="4"/>
      <c r="B14" s="4"/>
      <c r="C14" s="4"/>
      <c r="D14" s="4"/>
      <c r="E14" s="4"/>
      <c r="F14" s="4"/>
      <c r="G14" s="4"/>
      <c r="H14" s="4"/>
      <c r="I14" s="4"/>
      <c r="J14" s="4"/>
      <c r="K14" s="4"/>
      <c r="L14" s="4"/>
    </row>
    <row r="15" spans="1:12" x14ac:dyDescent="0.25">
      <c r="A15" s="4"/>
      <c r="B15" s="4"/>
      <c r="C15" s="4"/>
      <c r="D15" s="4"/>
      <c r="E15" s="4"/>
      <c r="F15" s="4"/>
      <c r="G15" s="4"/>
      <c r="H15" s="4"/>
      <c r="I15" s="4"/>
      <c r="J15" s="4"/>
      <c r="K15" s="4"/>
      <c r="L15" s="4"/>
    </row>
    <row r="16" spans="1:12" x14ac:dyDescent="0.25">
      <c r="A16" s="4"/>
      <c r="B16" s="4"/>
      <c r="C16" s="4"/>
      <c r="D16" s="4"/>
      <c r="E16" s="4"/>
      <c r="F16" s="4"/>
      <c r="G16" s="4"/>
      <c r="H16" s="4"/>
      <c r="I16" s="4"/>
      <c r="J16" s="4"/>
      <c r="K16" s="4"/>
      <c r="L16" s="4"/>
    </row>
    <row r="17" spans="1:12" x14ac:dyDescent="0.25">
      <c r="A17" s="4"/>
      <c r="B17" s="4"/>
      <c r="C17" s="4"/>
      <c r="D17" s="4"/>
      <c r="E17" s="4"/>
      <c r="F17" s="4"/>
      <c r="G17" s="4"/>
      <c r="H17" s="4"/>
      <c r="I17" s="4"/>
      <c r="J17" s="4"/>
      <c r="K17" s="4"/>
      <c r="L17" s="4"/>
    </row>
    <row r="18" spans="1:12" x14ac:dyDescent="0.25">
      <c r="A18" s="4"/>
      <c r="B18" s="4"/>
      <c r="C18" s="4"/>
      <c r="D18" s="4"/>
      <c r="E18" s="4"/>
      <c r="F18" s="4"/>
      <c r="G18" s="4"/>
      <c r="H18" s="4"/>
      <c r="I18" s="4"/>
      <c r="J18" s="4"/>
      <c r="K18" s="4"/>
      <c r="L18" s="4"/>
    </row>
    <row r="19" spans="1:12" x14ac:dyDescent="0.25">
      <c r="A19" s="4"/>
      <c r="B19" s="4"/>
      <c r="C19" s="4"/>
      <c r="D19" s="4"/>
      <c r="E19" s="4"/>
      <c r="F19" s="4"/>
      <c r="G19" s="4"/>
      <c r="H19" s="4"/>
      <c r="I19" s="4"/>
      <c r="J19" s="4"/>
      <c r="K19" s="4"/>
      <c r="L19" s="4"/>
    </row>
    <row r="20" spans="1:12" x14ac:dyDescent="0.25">
      <c r="A20" s="4"/>
      <c r="B20" s="4"/>
      <c r="C20" s="4"/>
      <c r="D20" s="4"/>
      <c r="E20" s="4"/>
      <c r="F20" s="4"/>
      <c r="G20" s="4"/>
      <c r="H20" s="4"/>
      <c r="I20" s="4"/>
      <c r="J20" s="4"/>
      <c r="K20" s="4"/>
      <c r="L20" s="4"/>
    </row>
    <row r="21" spans="1:12" x14ac:dyDescent="0.25">
      <c r="A21" s="4"/>
      <c r="B21" s="4"/>
      <c r="C21" s="4"/>
      <c r="D21" s="4"/>
      <c r="E21" s="4"/>
      <c r="F21" s="4"/>
      <c r="G21" s="4"/>
      <c r="H21" s="4"/>
      <c r="I21" s="4"/>
      <c r="J21" s="4"/>
      <c r="K21" s="4"/>
      <c r="L21" s="4"/>
    </row>
    <row r="22" spans="1:12" x14ac:dyDescent="0.25">
      <c r="A22" s="4"/>
      <c r="B22" s="4"/>
      <c r="C22" s="4"/>
      <c r="D22" s="4"/>
      <c r="E22" s="4"/>
      <c r="F22" s="4"/>
      <c r="G22" s="4"/>
      <c r="H22" s="4"/>
      <c r="I22" s="4"/>
      <c r="J22" s="4"/>
      <c r="K22" s="4"/>
      <c r="L22" s="4"/>
    </row>
  </sheetData>
  <conditionalFormatting sqref="B2:B9">
    <cfRule type="cellIs" dxfId="31" priority="29" operator="greaterThan">
      <formula>0</formula>
    </cfRule>
    <cfRule type="cellIs" dxfId="30" priority="30" operator="lessThan">
      <formula>0</formula>
    </cfRule>
    <cfRule type="cellIs" dxfId="29" priority="31" operator="lessThan">
      <formula>0</formula>
    </cfRule>
    <cfRule type="cellIs" dxfId="28" priority="32" operator="lessThan">
      <formula>0</formula>
    </cfRule>
  </conditionalFormatting>
  <conditionalFormatting sqref="C2:C9">
    <cfRule type="cellIs" dxfId="27" priority="26" operator="between">
      <formula>3</formula>
      <formula>6</formula>
    </cfRule>
    <cfRule type="cellIs" dxfId="26" priority="27" operator="lessThan">
      <formula>3</formula>
    </cfRule>
    <cfRule type="cellIs" dxfId="25" priority="28" operator="greaterThan">
      <formula>6</formula>
    </cfRule>
  </conditionalFormatting>
  <conditionalFormatting sqref="D2:D9">
    <cfRule type="cellIs" dxfId="24" priority="22" operator="between">
      <formula>0.08</formula>
      <formula>0.15</formula>
    </cfRule>
    <cfRule type="cellIs" dxfId="23" priority="23" operator="lessThan">
      <formula>0.08</formula>
    </cfRule>
    <cfRule type="cellIs" dxfId="22" priority="24" operator="greaterThan">
      <formula>0.15</formula>
    </cfRule>
    <cfRule type="cellIs" dxfId="21" priority="25" operator="greaterThan">
      <formula>15</formula>
    </cfRule>
  </conditionalFormatting>
  <conditionalFormatting sqref="E2:E9">
    <cfRule type="cellIs" dxfId="20" priority="19" operator="between">
      <formula>0.15</formula>
      <formula>0.25</formula>
    </cfRule>
    <cfRule type="cellIs" dxfId="19" priority="20" operator="lessThan">
      <formula>0.15</formula>
    </cfRule>
    <cfRule type="cellIs" dxfId="18" priority="21" operator="greaterThan">
      <formula>0.25</formula>
    </cfRule>
  </conditionalFormatting>
  <conditionalFormatting sqref="F2:F9">
    <cfRule type="cellIs" dxfId="17" priority="16" operator="lessThan">
      <formula>0.12</formula>
    </cfRule>
    <cfRule type="cellIs" dxfId="16" priority="17" operator="between">
      <formula>0.12</formula>
      <formula>0.2</formula>
    </cfRule>
    <cfRule type="cellIs" dxfId="15" priority="18" operator="greaterThan">
      <formula>0.2</formula>
    </cfRule>
  </conditionalFormatting>
  <conditionalFormatting sqref="G2:G9">
    <cfRule type="cellIs" dxfId="14" priority="13" operator="between">
      <formula>0.2</formula>
      <formula>0.5</formula>
    </cfRule>
    <cfRule type="cellIs" dxfId="13" priority="14" operator="lessThan">
      <formula>0.2</formula>
    </cfRule>
    <cfRule type="cellIs" dxfId="12" priority="15" operator="greaterThan">
      <formula>0.5</formula>
    </cfRule>
  </conditionalFormatting>
  <conditionalFormatting sqref="H2:H9">
    <cfRule type="cellIs" dxfId="11" priority="10" operator="between">
      <formula>0.15</formula>
      <formula>0.3</formula>
    </cfRule>
    <cfRule type="cellIs" dxfId="10" priority="11" operator="lessThan">
      <formula>0.15</formula>
    </cfRule>
    <cfRule type="cellIs" dxfId="9" priority="12" operator="greaterThan">
      <formula>0.3</formula>
    </cfRule>
  </conditionalFormatting>
  <conditionalFormatting sqref="I2:I9">
    <cfRule type="cellIs" dxfId="8" priority="7" operator="greaterThan">
      <formula>40</formula>
    </cfRule>
    <cfRule type="cellIs" dxfId="7" priority="8" operator="between">
      <formula>20</formula>
      <formula>44</formula>
    </cfRule>
    <cfRule type="cellIs" dxfId="6" priority="9" operator="lessThan">
      <formula>20</formula>
    </cfRule>
  </conditionalFormatting>
  <conditionalFormatting sqref="J2:J9">
    <cfRule type="cellIs" dxfId="5" priority="1" operator="between">
      <formula>1</formula>
      <formula>2</formula>
    </cfRule>
    <cfRule type="cellIs" dxfId="4" priority="5" operator="greaterThan">
      <formula>2</formula>
    </cfRule>
    <cfRule type="cellIs" dxfId="3" priority="6" operator="lessThan">
      <formula>1</formula>
    </cfRule>
  </conditionalFormatting>
  <conditionalFormatting sqref="K2:K9">
    <cfRule type="cellIs" dxfId="2" priority="2" operator="greaterThan">
      <formula>100</formula>
    </cfRule>
    <cfRule type="cellIs" dxfId="1" priority="3" operator="between">
      <formula>60</formula>
      <formula>100</formula>
    </cfRule>
    <cfRule type="cellIs" dxfId="0" priority="4" operator="lessThan">
      <formula>60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23BEB-5502-43C5-8DE4-DC036681198C}">
  <dimension ref="A1:B29"/>
  <sheetViews>
    <sheetView showGridLines="0" zoomScale="110" zoomScaleNormal="110" workbookViewId="0">
      <selection activeCell="B28" sqref="B28"/>
    </sheetView>
  </sheetViews>
  <sheetFormatPr defaultRowHeight="15" x14ac:dyDescent="0.25"/>
  <cols>
    <col min="1" max="1" width="67.85546875" bestFit="1" customWidth="1"/>
    <col min="2" max="2" width="163.7109375" bestFit="1" customWidth="1"/>
  </cols>
  <sheetData>
    <row r="1" spans="1:2" x14ac:dyDescent="0.25">
      <c r="A1" s="3" t="s">
        <v>9</v>
      </c>
    </row>
    <row r="2" spans="1:2" x14ac:dyDescent="0.25">
      <c r="A2" t="s">
        <v>10</v>
      </c>
      <c r="B2" t="s">
        <v>28</v>
      </c>
    </row>
    <row r="3" spans="1:2" x14ac:dyDescent="0.25">
      <c r="A3" t="s">
        <v>11</v>
      </c>
      <c r="B3" t="s">
        <v>29</v>
      </c>
    </row>
    <row r="4" spans="1:2" x14ac:dyDescent="0.25">
      <c r="A4" t="s">
        <v>12</v>
      </c>
      <c r="B4" t="s">
        <v>56</v>
      </c>
    </row>
    <row r="6" spans="1:2" x14ac:dyDescent="0.25">
      <c r="A6" s="1" t="s">
        <v>13</v>
      </c>
    </row>
    <row r="7" spans="1:2" x14ac:dyDescent="0.25">
      <c r="A7" t="s">
        <v>14</v>
      </c>
      <c r="B7" t="s">
        <v>57</v>
      </c>
    </row>
    <row r="8" spans="1:2" x14ac:dyDescent="0.25">
      <c r="A8" t="s">
        <v>15</v>
      </c>
      <c r="B8" t="s">
        <v>58</v>
      </c>
    </row>
    <row r="9" spans="1:2" x14ac:dyDescent="0.25">
      <c r="A9" t="s">
        <v>16</v>
      </c>
    </row>
    <row r="10" spans="1:2" x14ac:dyDescent="0.25">
      <c r="A10" s="2" t="s">
        <v>17</v>
      </c>
      <c r="B10" t="s">
        <v>59</v>
      </c>
    </row>
    <row r="11" spans="1:2" x14ac:dyDescent="0.25">
      <c r="A11" s="2" t="s">
        <v>18</v>
      </c>
      <c r="B11" t="s">
        <v>60</v>
      </c>
    </row>
    <row r="12" spans="1:2" x14ac:dyDescent="0.25">
      <c r="A12" s="2" t="s">
        <v>19</v>
      </c>
      <c r="B12" t="s">
        <v>30</v>
      </c>
    </row>
    <row r="13" spans="1:2" x14ac:dyDescent="0.25">
      <c r="A13" s="2" t="s">
        <v>20</v>
      </c>
      <c r="B13" t="s">
        <v>31</v>
      </c>
    </row>
    <row r="15" spans="1:2" x14ac:dyDescent="0.25">
      <c r="A15" s="1" t="s">
        <v>21</v>
      </c>
    </row>
    <row r="16" spans="1:2" x14ac:dyDescent="0.25">
      <c r="A16" t="s">
        <v>22</v>
      </c>
      <c r="B16" t="s">
        <v>61</v>
      </c>
    </row>
    <row r="17" spans="1:2" x14ac:dyDescent="0.25">
      <c r="A17" t="s">
        <v>23</v>
      </c>
      <c r="B17" t="s">
        <v>62</v>
      </c>
    </row>
    <row r="18" spans="1:2" x14ac:dyDescent="0.25">
      <c r="A18" t="s">
        <v>24</v>
      </c>
      <c r="B18" t="s">
        <v>63</v>
      </c>
    </row>
    <row r="20" spans="1:2" x14ac:dyDescent="0.25">
      <c r="A20" s="1" t="s">
        <v>25</v>
      </c>
    </row>
    <row r="21" spans="1:2" x14ac:dyDescent="0.25">
      <c r="A21" t="s">
        <v>26</v>
      </c>
      <c r="B21" t="s">
        <v>64</v>
      </c>
    </row>
    <row r="22" spans="1:2" x14ac:dyDescent="0.25">
      <c r="A22" t="s">
        <v>27</v>
      </c>
      <c r="B22" t="s">
        <v>32</v>
      </c>
    </row>
    <row r="24" spans="1:2" x14ac:dyDescent="0.25">
      <c r="A24" s="1" t="s">
        <v>51</v>
      </c>
    </row>
    <row r="25" spans="1:2" x14ac:dyDescent="0.25">
      <c r="A25" t="s">
        <v>52</v>
      </c>
      <c r="B25" t="s">
        <v>65</v>
      </c>
    </row>
    <row r="26" spans="1:2" x14ac:dyDescent="0.25">
      <c r="A26" t="s">
        <v>53</v>
      </c>
      <c r="B26" t="s">
        <v>74</v>
      </c>
    </row>
    <row r="27" spans="1:2" x14ac:dyDescent="0.25">
      <c r="A27" s="26" t="s">
        <v>67</v>
      </c>
    </row>
    <row r="28" spans="1:2" x14ac:dyDescent="0.25">
      <c r="A28" t="s">
        <v>55</v>
      </c>
      <c r="B28" t="s">
        <v>66</v>
      </c>
    </row>
    <row r="29" spans="1:2" x14ac:dyDescent="0.25">
      <c r="A29" t="s">
        <v>54</v>
      </c>
      <c r="B29" t="s">
        <v>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77A06-1C15-4D34-8351-16F859B4B345}">
  <dimension ref="A1:B29"/>
  <sheetViews>
    <sheetView showGridLines="0" zoomScale="110" zoomScaleNormal="110" workbookViewId="0">
      <selection activeCell="C32" sqref="C32"/>
    </sheetView>
  </sheetViews>
  <sheetFormatPr defaultRowHeight="15" x14ac:dyDescent="0.25"/>
  <cols>
    <col min="1" max="1" width="67.85546875" bestFit="1" customWidth="1"/>
    <col min="2" max="2" width="108.85546875" customWidth="1"/>
  </cols>
  <sheetData>
    <row r="1" spans="1:2" x14ac:dyDescent="0.25">
      <c r="A1" s="3" t="s">
        <v>9</v>
      </c>
    </row>
    <row r="2" spans="1:2" x14ac:dyDescent="0.25">
      <c r="A2" t="s">
        <v>10</v>
      </c>
      <c r="B2" t="s">
        <v>69</v>
      </c>
    </row>
    <row r="3" spans="1:2" x14ac:dyDescent="0.25">
      <c r="A3" t="s">
        <v>11</v>
      </c>
      <c r="B3" t="s">
        <v>70</v>
      </c>
    </row>
    <row r="4" spans="1:2" x14ac:dyDescent="0.25">
      <c r="A4" t="s">
        <v>12</v>
      </c>
      <c r="B4" t="s">
        <v>72</v>
      </c>
    </row>
    <row r="6" spans="1:2" x14ac:dyDescent="0.25">
      <c r="A6" s="1" t="s">
        <v>13</v>
      </c>
    </row>
    <row r="7" spans="1:2" x14ac:dyDescent="0.25">
      <c r="A7" t="s">
        <v>14</v>
      </c>
      <c r="B7" t="s">
        <v>71</v>
      </c>
    </row>
    <row r="8" spans="1:2" x14ac:dyDescent="0.25">
      <c r="A8" t="s">
        <v>15</v>
      </c>
      <c r="B8" t="s">
        <v>73</v>
      </c>
    </row>
    <row r="9" spans="1:2" x14ac:dyDescent="0.25">
      <c r="A9" t="s">
        <v>16</v>
      </c>
    </row>
    <row r="10" spans="1:2" x14ac:dyDescent="0.25">
      <c r="A10" s="2" t="s">
        <v>17</v>
      </c>
      <c r="B10" t="s">
        <v>75</v>
      </c>
    </row>
    <row r="11" spans="1:2" x14ac:dyDescent="0.25">
      <c r="A11" s="2" t="s">
        <v>18</v>
      </c>
      <c r="B11" t="s">
        <v>76</v>
      </c>
    </row>
    <row r="12" spans="1:2" x14ac:dyDescent="0.25">
      <c r="A12" s="2" t="s">
        <v>19</v>
      </c>
      <c r="B12" t="s">
        <v>77</v>
      </c>
    </row>
    <row r="13" spans="1:2" x14ac:dyDescent="0.25">
      <c r="A13" s="2" t="s">
        <v>20</v>
      </c>
      <c r="B13" t="s">
        <v>78</v>
      </c>
    </row>
    <row r="15" spans="1:2" x14ac:dyDescent="0.25">
      <c r="A15" s="1" t="s">
        <v>21</v>
      </c>
    </row>
    <row r="16" spans="1:2" x14ac:dyDescent="0.25">
      <c r="A16" t="s">
        <v>22</v>
      </c>
      <c r="B16" t="s">
        <v>79</v>
      </c>
    </row>
    <row r="17" spans="1:2" x14ac:dyDescent="0.25">
      <c r="A17" t="s">
        <v>23</v>
      </c>
      <c r="B17" t="s">
        <v>80</v>
      </c>
    </row>
    <row r="18" spans="1:2" x14ac:dyDescent="0.25">
      <c r="A18" t="s">
        <v>24</v>
      </c>
      <c r="B18" t="s">
        <v>81</v>
      </c>
    </row>
    <row r="20" spans="1:2" x14ac:dyDescent="0.25">
      <c r="A20" s="1" t="s">
        <v>25</v>
      </c>
    </row>
    <row r="21" spans="1:2" x14ac:dyDescent="0.25">
      <c r="A21" t="s">
        <v>26</v>
      </c>
      <c r="B21" t="s">
        <v>82</v>
      </c>
    </row>
    <row r="22" spans="1:2" x14ac:dyDescent="0.25">
      <c r="A22" t="s">
        <v>27</v>
      </c>
      <c r="B22" t="s">
        <v>83</v>
      </c>
    </row>
    <row r="24" spans="1:2" x14ac:dyDescent="0.25">
      <c r="A24" s="1" t="s">
        <v>51</v>
      </c>
    </row>
    <row r="25" spans="1:2" x14ac:dyDescent="0.25">
      <c r="A25" t="s">
        <v>52</v>
      </c>
      <c r="B25" t="s">
        <v>84</v>
      </c>
    </row>
    <row r="26" spans="1:2" x14ac:dyDescent="0.25">
      <c r="A26" t="s">
        <v>53</v>
      </c>
      <c r="B26" t="s">
        <v>85</v>
      </c>
    </row>
    <row r="27" spans="1:2" x14ac:dyDescent="0.25">
      <c r="A27" s="26" t="s">
        <v>67</v>
      </c>
    </row>
    <row r="28" spans="1:2" x14ac:dyDescent="0.25">
      <c r="A28" t="s">
        <v>55</v>
      </c>
      <c r="B28" t="s">
        <v>86</v>
      </c>
    </row>
    <row r="29" spans="1:2" x14ac:dyDescent="0.25">
      <c r="A29" t="s">
        <v>54</v>
      </c>
      <c r="B29" t="s">
        <v>87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480CC-BCC1-4770-B7FC-45BFCEC7C78C}">
  <dimension ref="A1:B29"/>
  <sheetViews>
    <sheetView showGridLines="0" zoomScale="110" zoomScaleNormal="110" workbookViewId="0">
      <selection activeCell="B29" sqref="B29"/>
    </sheetView>
  </sheetViews>
  <sheetFormatPr defaultRowHeight="15" x14ac:dyDescent="0.25"/>
  <cols>
    <col min="1" max="1" width="67.85546875" bestFit="1" customWidth="1"/>
    <col min="2" max="2" width="138.85546875" customWidth="1"/>
  </cols>
  <sheetData>
    <row r="1" spans="1:2" x14ac:dyDescent="0.25">
      <c r="A1" s="3" t="s">
        <v>9</v>
      </c>
    </row>
    <row r="2" spans="1:2" x14ac:dyDescent="0.25">
      <c r="A2" t="s">
        <v>10</v>
      </c>
      <c r="B2" t="s">
        <v>88</v>
      </c>
    </row>
    <row r="3" spans="1:2" x14ac:dyDescent="0.25">
      <c r="A3" t="s">
        <v>11</v>
      </c>
      <c r="B3" t="s">
        <v>89</v>
      </c>
    </row>
    <row r="4" spans="1:2" x14ac:dyDescent="0.25">
      <c r="A4" t="s">
        <v>12</v>
      </c>
      <c r="B4" t="s">
        <v>90</v>
      </c>
    </row>
    <row r="6" spans="1:2" x14ac:dyDescent="0.25">
      <c r="A6" s="1" t="s">
        <v>13</v>
      </c>
    </row>
    <row r="7" spans="1:2" x14ac:dyDescent="0.25">
      <c r="A7" t="s">
        <v>14</v>
      </c>
      <c r="B7" t="s">
        <v>91</v>
      </c>
    </row>
    <row r="8" spans="1:2" x14ac:dyDescent="0.25">
      <c r="A8" t="s">
        <v>15</v>
      </c>
      <c r="B8" t="s">
        <v>92</v>
      </c>
    </row>
    <row r="9" spans="1:2" x14ac:dyDescent="0.25">
      <c r="A9" t="s">
        <v>16</v>
      </c>
    </row>
    <row r="10" spans="1:2" x14ac:dyDescent="0.25">
      <c r="A10" s="2" t="s">
        <v>17</v>
      </c>
      <c r="B10" t="s">
        <v>93</v>
      </c>
    </row>
    <row r="11" spans="1:2" x14ac:dyDescent="0.25">
      <c r="A11" s="2" t="s">
        <v>18</v>
      </c>
      <c r="B11" t="s">
        <v>94</v>
      </c>
    </row>
    <row r="12" spans="1:2" x14ac:dyDescent="0.25">
      <c r="A12" s="2" t="s">
        <v>19</v>
      </c>
      <c r="B12" t="s">
        <v>95</v>
      </c>
    </row>
    <row r="13" spans="1:2" x14ac:dyDescent="0.25">
      <c r="A13" s="2" t="s">
        <v>20</v>
      </c>
      <c r="B13" t="s">
        <v>96</v>
      </c>
    </row>
    <row r="15" spans="1:2" x14ac:dyDescent="0.25">
      <c r="A15" s="1" t="s">
        <v>21</v>
      </c>
    </row>
    <row r="16" spans="1:2" x14ac:dyDescent="0.25">
      <c r="A16" t="s">
        <v>22</v>
      </c>
      <c r="B16" t="s">
        <v>97</v>
      </c>
    </row>
    <row r="17" spans="1:2" x14ac:dyDescent="0.25">
      <c r="A17" t="s">
        <v>23</v>
      </c>
      <c r="B17" t="s">
        <v>98</v>
      </c>
    </row>
    <row r="18" spans="1:2" x14ac:dyDescent="0.25">
      <c r="A18" t="s">
        <v>24</v>
      </c>
      <c r="B18" t="s">
        <v>99</v>
      </c>
    </row>
    <row r="20" spans="1:2" x14ac:dyDescent="0.25">
      <c r="A20" s="1" t="s">
        <v>25</v>
      </c>
    </row>
    <row r="21" spans="1:2" x14ac:dyDescent="0.25">
      <c r="A21" t="s">
        <v>26</v>
      </c>
      <c r="B21" t="s">
        <v>100</v>
      </c>
    </row>
    <row r="22" spans="1:2" x14ac:dyDescent="0.25">
      <c r="A22" t="s">
        <v>27</v>
      </c>
      <c r="B22" t="s">
        <v>101</v>
      </c>
    </row>
    <row r="24" spans="1:2" x14ac:dyDescent="0.25">
      <c r="A24" s="1" t="s">
        <v>51</v>
      </c>
    </row>
    <row r="25" spans="1:2" x14ac:dyDescent="0.25">
      <c r="A25" t="s">
        <v>52</v>
      </c>
      <c r="B25" t="s">
        <v>102</v>
      </c>
    </row>
    <row r="26" spans="1:2" x14ac:dyDescent="0.25">
      <c r="A26" t="s">
        <v>53</v>
      </c>
      <c r="B26" t="s">
        <v>103</v>
      </c>
    </row>
    <row r="27" spans="1:2" x14ac:dyDescent="0.25">
      <c r="A27" s="26" t="s">
        <v>67</v>
      </c>
    </row>
    <row r="28" spans="1:2" x14ac:dyDescent="0.25">
      <c r="A28" t="s">
        <v>55</v>
      </c>
      <c r="B28" t="s">
        <v>104</v>
      </c>
    </row>
    <row r="29" spans="1:2" x14ac:dyDescent="0.25">
      <c r="A29" t="s">
        <v>54</v>
      </c>
      <c r="B29" t="s">
        <v>105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66982-2468-4135-A540-B70A31C91333}">
  <dimension ref="A1:B29"/>
  <sheetViews>
    <sheetView showGridLines="0" zoomScale="110" zoomScaleNormal="110" workbookViewId="0">
      <selection activeCell="B30" sqref="B30"/>
    </sheetView>
  </sheetViews>
  <sheetFormatPr defaultRowHeight="15" x14ac:dyDescent="0.25"/>
  <cols>
    <col min="1" max="1" width="67.85546875" bestFit="1" customWidth="1"/>
    <col min="2" max="2" width="179.7109375" customWidth="1"/>
  </cols>
  <sheetData>
    <row r="1" spans="1:2" x14ac:dyDescent="0.25">
      <c r="A1" s="3" t="s">
        <v>9</v>
      </c>
    </row>
    <row r="2" spans="1:2" x14ac:dyDescent="0.25">
      <c r="A2" t="s">
        <v>10</v>
      </c>
      <c r="B2" t="s">
        <v>107</v>
      </c>
    </row>
    <row r="3" spans="1:2" x14ac:dyDescent="0.25">
      <c r="A3" t="s">
        <v>11</v>
      </c>
      <c r="B3" t="s">
        <v>106</v>
      </c>
    </row>
    <row r="4" spans="1:2" x14ac:dyDescent="0.25">
      <c r="A4" t="s">
        <v>12</v>
      </c>
      <c r="B4" t="s">
        <v>108</v>
      </c>
    </row>
    <row r="6" spans="1:2" x14ac:dyDescent="0.25">
      <c r="A6" s="1" t="s">
        <v>13</v>
      </c>
    </row>
    <row r="7" spans="1:2" x14ac:dyDescent="0.25">
      <c r="A7" t="s">
        <v>14</v>
      </c>
      <c r="B7" t="s">
        <v>109</v>
      </c>
    </row>
    <row r="8" spans="1:2" x14ac:dyDescent="0.25">
      <c r="A8" t="s">
        <v>15</v>
      </c>
      <c r="B8" t="s">
        <v>110</v>
      </c>
    </row>
    <row r="9" spans="1:2" x14ac:dyDescent="0.25">
      <c r="A9" t="s">
        <v>16</v>
      </c>
    </row>
    <row r="10" spans="1:2" x14ac:dyDescent="0.25">
      <c r="A10" s="2" t="s">
        <v>17</v>
      </c>
      <c r="B10" t="s">
        <v>111</v>
      </c>
    </row>
    <row r="11" spans="1:2" x14ac:dyDescent="0.25">
      <c r="A11" s="2" t="s">
        <v>18</v>
      </c>
      <c r="B11" t="s">
        <v>112</v>
      </c>
    </row>
    <row r="12" spans="1:2" x14ac:dyDescent="0.25">
      <c r="A12" s="2" t="s">
        <v>19</v>
      </c>
      <c r="B12" t="s">
        <v>113</v>
      </c>
    </row>
    <row r="13" spans="1:2" x14ac:dyDescent="0.25">
      <c r="A13" s="2" t="s">
        <v>20</v>
      </c>
      <c r="B13" t="s">
        <v>114</v>
      </c>
    </row>
    <row r="15" spans="1:2" x14ac:dyDescent="0.25">
      <c r="A15" s="1" t="s">
        <v>21</v>
      </c>
    </row>
    <row r="16" spans="1:2" x14ac:dyDescent="0.25">
      <c r="A16" t="s">
        <v>22</v>
      </c>
      <c r="B16" t="s">
        <v>115</v>
      </c>
    </row>
    <row r="17" spans="1:2" x14ac:dyDescent="0.25">
      <c r="A17" t="s">
        <v>23</v>
      </c>
      <c r="B17" t="s">
        <v>116</v>
      </c>
    </row>
    <row r="18" spans="1:2" x14ac:dyDescent="0.25">
      <c r="A18" t="s">
        <v>24</v>
      </c>
      <c r="B18" t="s">
        <v>117</v>
      </c>
    </row>
    <row r="20" spans="1:2" x14ac:dyDescent="0.25">
      <c r="A20" s="1" t="s">
        <v>25</v>
      </c>
    </row>
    <row r="21" spans="1:2" x14ac:dyDescent="0.25">
      <c r="A21" t="s">
        <v>26</v>
      </c>
      <c r="B21" t="s">
        <v>118</v>
      </c>
    </row>
    <row r="22" spans="1:2" x14ac:dyDescent="0.25">
      <c r="A22" t="s">
        <v>27</v>
      </c>
      <c r="B22" t="s">
        <v>119</v>
      </c>
    </row>
    <row r="24" spans="1:2" x14ac:dyDescent="0.25">
      <c r="A24" s="1" t="s">
        <v>51</v>
      </c>
    </row>
    <row r="25" spans="1:2" x14ac:dyDescent="0.25">
      <c r="A25" t="s">
        <v>52</v>
      </c>
      <c r="B25" t="s">
        <v>120</v>
      </c>
    </row>
    <row r="26" spans="1:2" x14ac:dyDescent="0.25">
      <c r="A26" t="s">
        <v>53</v>
      </c>
      <c r="B26" t="s">
        <v>121</v>
      </c>
    </row>
    <row r="27" spans="1:2" x14ac:dyDescent="0.25">
      <c r="A27" s="26" t="s">
        <v>67</v>
      </c>
    </row>
    <row r="28" spans="1:2" x14ac:dyDescent="0.25">
      <c r="A28" t="s">
        <v>55</v>
      </c>
      <c r="B28" t="s">
        <v>122</v>
      </c>
    </row>
    <row r="29" spans="1:2" x14ac:dyDescent="0.25">
      <c r="A29" t="s">
        <v>54</v>
      </c>
      <c r="B29" t="s">
        <v>123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FC13F-9A5B-4322-AA23-BF7E43024795}">
  <dimension ref="A1:B29"/>
  <sheetViews>
    <sheetView showGridLines="0" zoomScale="110" zoomScaleNormal="110" workbookViewId="0">
      <selection activeCell="B30" sqref="B30"/>
    </sheetView>
  </sheetViews>
  <sheetFormatPr defaultRowHeight="15" x14ac:dyDescent="0.25"/>
  <cols>
    <col min="1" max="1" width="67.85546875" bestFit="1" customWidth="1"/>
    <col min="2" max="2" width="176.42578125" customWidth="1"/>
  </cols>
  <sheetData>
    <row r="1" spans="1:2" x14ac:dyDescent="0.25">
      <c r="A1" s="3" t="s">
        <v>9</v>
      </c>
    </row>
    <row r="2" spans="1:2" x14ac:dyDescent="0.25">
      <c r="A2" t="s">
        <v>10</v>
      </c>
      <c r="B2" t="s">
        <v>124</v>
      </c>
    </row>
    <row r="3" spans="1:2" x14ac:dyDescent="0.25">
      <c r="A3" t="s">
        <v>11</v>
      </c>
      <c r="B3" t="s">
        <v>125</v>
      </c>
    </row>
    <row r="4" spans="1:2" x14ac:dyDescent="0.25">
      <c r="A4" t="s">
        <v>12</v>
      </c>
      <c r="B4" t="s">
        <v>126</v>
      </c>
    </row>
    <row r="6" spans="1:2" x14ac:dyDescent="0.25">
      <c r="A6" s="1" t="s">
        <v>13</v>
      </c>
    </row>
    <row r="7" spans="1:2" x14ac:dyDescent="0.25">
      <c r="A7" t="s">
        <v>14</v>
      </c>
      <c r="B7" t="s">
        <v>127</v>
      </c>
    </row>
    <row r="8" spans="1:2" x14ac:dyDescent="0.25">
      <c r="A8" t="s">
        <v>15</v>
      </c>
      <c r="B8" t="s">
        <v>128</v>
      </c>
    </row>
    <row r="9" spans="1:2" x14ac:dyDescent="0.25">
      <c r="A9" t="s">
        <v>16</v>
      </c>
    </row>
    <row r="10" spans="1:2" x14ac:dyDescent="0.25">
      <c r="A10" s="2" t="s">
        <v>17</v>
      </c>
      <c r="B10" t="s">
        <v>129</v>
      </c>
    </row>
    <row r="11" spans="1:2" x14ac:dyDescent="0.25">
      <c r="A11" s="2" t="s">
        <v>18</v>
      </c>
      <c r="B11" t="s">
        <v>130</v>
      </c>
    </row>
    <row r="12" spans="1:2" x14ac:dyDescent="0.25">
      <c r="A12" s="2" t="s">
        <v>19</v>
      </c>
      <c r="B12" t="s">
        <v>131</v>
      </c>
    </row>
    <row r="13" spans="1:2" x14ac:dyDescent="0.25">
      <c r="A13" s="2" t="s">
        <v>20</v>
      </c>
      <c r="B13" t="s">
        <v>132</v>
      </c>
    </row>
    <row r="15" spans="1:2" x14ac:dyDescent="0.25">
      <c r="A15" s="1" t="s">
        <v>21</v>
      </c>
    </row>
    <row r="16" spans="1:2" x14ac:dyDescent="0.25">
      <c r="A16" t="s">
        <v>22</v>
      </c>
      <c r="B16" t="s">
        <v>133</v>
      </c>
    </row>
    <row r="17" spans="1:2" x14ac:dyDescent="0.25">
      <c r="A17" t="s">
        <v>23</v>
      </c>
      <c r="B17" t="s">
        <v>134</v>
      </c>
    </row>
    <row r="18" spans="1:2" x14ac:dyDescent="0.25">
      <c r="A18" t="s">
        <v>24</v>
      </c>
      <c r="B18" t="s">
        <v>135</v>
      </c>
    </row>
    <row r="20" spans="1:2" x14ac:dyDescent="0.25">
      <c r="A20" s="1" t="s">
        <v>25</v>
      </c>
    </row>
    <row r="21" spans="1:2" x14ac:dyDescent="0.25">
      <c r="A21" t="s">
        <v>26</v>
      </c>
      <c r="B21" t="s">
        <v>136</v>
      </c>
    </row>
    <row r="22" spans="1:2" x14ac:dyDescent="0.25">
      <c r="A22" t="s">
        <v>27</v>
      </c>
      <c r="B22" t="s">
        <v>137</v>
      </c>
    </row>
    <row r="24" spans="1:2" x14ac:dyDescent="0.25">
      <c r="A24" s="1" t="s">
        <v>51</v>
      </c>
    </row>
    <row r="25" spans="1:2" x14ac:dyDescent="0.25">
      <c r="A25" t="s">
        <v>52</v>
      </c>
      <c r="B25" t="s">
        <v>138</v>
      </c>
    </row>
    <row r="26" spans="1:2" x14ac:dyDescent="0.25">
      <c r="A26" t="s">
        <v>53</v>
      </c>
      <c r="B26" t="s">
        <v>139</v>
      </c>
    </row>
    <row r="27" spans="1:2" x14ac:dyDescent="0.25">
      <c r="A27" s="26" t="s">
        <v>67</v>
      </c>
    </row>
    <row r="28" spans="1:2" x14ac:dyDescent="0.25">
      <c r="A28" t="s">
        <v>55</v>
      </c>
      <c r="B28" t="s">
        <v>140</v>
      </c>
    </row>
    <row r="29" spans="1:2" x14ac:dyDescent="0.25">
      <c r="A29" t="s">
        <v>54</v>
      </c>
      <c r="B29" t="s">
        <v>141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7C42-705E-455C-BB26-F179F72A1264}">
  <dimension ref="A1:B29"/>
  <sheetViews>
    <sheetView showGridLines="0" zoomScale="110" zoomScaleNormal="110" workbookViewId="0">
      <selection activeCell="B29" sqref="B29"/>
    </sheetView>
  </sheetViews>
  <sheetFormatPr defaultRowHeight="15" x14ac:dyDescent="0.25"/>
  <cols>
    <col min="1" max="1" width="67.85546875" bestFit="1" customWidth="1"/>
    <col min="2" max="2" width="136" customWidth="1"/>
  </cols>
  <sheetData>
    <row r="1" spans="1:2" x14ac:dyDescent="0.25">
      <c r="A1" s="3" t="s">
        <v>9</v>
      </c>
    </row>
    <row r="2" spans="1:2" x14ac:dyDescent="0.25">
      <c r="A2" t="s">
        <v>10</v>
      </c>
      <c r="B2" t="s">
        <v>142</v>
      </c>
    </row>
    <row r="3" spans="1:2" x14ac:dyDescent="0.25">
      <c r="A3" t="s">
        <v>11</v>
      </c>
      <c r="B3" t="s">
        <v>143</v>
      </c>
    </row>
    <row r="4" spans="1:2" x14ac:dyDescent="0.25">
      <c r="A4" t="s">
        <v>12</v>
      </c>
      <c r="B4" t="s">
        <v>144</v>
      </c>
    </row>
    <row r="6" spans="1:2" x14ac:dyDescent="0.25">
      <c r="A6" s="1" t="s">
        <v>13</v>
      </c>
    </row>
    <row r="7" spans="1:2" x14ac:dyDescent="0.25">
      <c r="A7" t="s">
        <v>14</v>
      </c>
      <c r="B7" t="s">
        <v>145</v>
      </c>
    </row>
    <row r="8" spans="1:2" x14ac:dyDescent="0.25">
      <c r="A8" t="s">
        <v>15</v>
      </c>
      <c r="B8" t="s">
        <v>146</v>
      </c>
    </row>
    <row r="9" spans="1:2" x14ac:dyDescent="0.25">
      <c r="A9" t="s">
        <v>16</v>
      </c>
    </row>
    <row r="10" spans="1:2" x14ac:dyDescent="0.25">
      <c r="A10" s="2" t="s">
        <v>17</v>
      </c>
      <c r="B10" t="s">
        <v>147</v>
      </c>
    </row>
    <row r="11" spans="1:2" x14ac:dyDescent="0.25">
      <c r="A11" s="2" t="s">
        <v>18</v>
      </c>
      <c r="B11" t="s">
        <v>148</v>
      </c>
    </row>
    <row r="12" spans="1:2" x14ac:dyDescent="0.25">
      <c r="A12" s="2" t="s">
        <v>19</v>
      </c>
      <c r="B12" t="s">
        <v>149</v>
      </c>
    </row>
    <row r="13" spans="1:2" x14ac:dyDescent="0.25">
      <c r="A13" s="2" t="s">
        <v>20</v>
      </c>
      <c r="B13" t="s">
        <v>114</v>
      </c>
    </row>
    <row r="15" spans="1:2" x14ac:dyDescent="0.25">
      <c r="A15" s="1" t="s">
        <v>21</v>
      </c>
    </row>
    <row r="16" spans="1:2" x14ac:dyDescent="0.25">
      <c r="A16" t="s">
        <v>22</v>
      </c>
      <c r="B16" t="s">
        <v>150</v>
      </c>
    </row>
    <row r="17" spans="1:2" x14ac:dyDescent="0.25">
      <c r="A17" t="s">
        <v>23</v>
      </c>
      <c r="B17" t="s">
        <v>151</v>
      </c>
    </row>
    <row r="18" spans="1:2" x14ac:dyDescent="0.25">
      <c r="A18" t="s">
        <v>24</v>
      </c>
      <c r="B18" t="s">
        <v>152</v>
      </c>
    </row>
    <row r="20" spans="1:2" x14ac:dyDescent="0.25">
      <c r="A20" s="1" t="s">
        <v>25</v>
      </c>
    </row>
    <row r="21" spans="1:2" x14ac:dyDescent="0.25">
      <c r="A21" t="s">
        <v>26</v>
      </c>
      <c r="B21" t="s">
        <v>153</v>
      </c>
    </row>
    <row r="22" spans="1:2" x14ac:dyDescent="0.25">
      <c r="A22" t="s">
        <v>27</v>
      </c>
      <c r="B22" t="s">
        <v>154</v>
      </c>
    </row>
    <row r="24" spans="1:2" x14ac:dyDescent="0.25">
      <c r="A24" s="1" t="s">
        <v>51</v>
      </c>
    </row>
    <row r="25" spans="1:2" x14ac:dyDescent="0.25">
      <c r="A25" t="s">
        <v>52</v>
      </c>
      <c r="B25" t="s">
        <v>155</v>
      </c>
    </row>
    <row r="26" spans="1:2" x14ac:dyDescent="0.25">
      <c r="A26" t="s">
        <v>53</v>
      </c>
      <c r="B26" t="s">
        <v>156</v>
      </c>
    </row>
    <row r="27" spans="1:2" x14ac:dyDescent="0.25">
      <c r="A27" s="26" t="s">
        <v>67</v>
      </c>
    </row>
    <row r="28" spans="1:2" x14ac:dyDescent="0.25">
      <c r="A28" t="s">
        <v>55</v>
      </c>
      <c r="B28" t="s">
        <v>104</v>
      </c>
    </row>
    <row r="29" spans="1:2" x14ac:dyDescent="0.25">
      <c r="A29" t="s">
        <v>54</v>
      </c>
      <c r="B29" t="s">
        <v>157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773F-E4AF-4035-ACA4-7AB046BF9362}">
  <dimension ref="A1:B29"/>
  <sheetViews>
    <sheetView showGridLines="0" zoomScale="110" zoomScaleNormal="110" workbookViewId="0">
      <selection activeCell="B30" sqref="B30"/>
    </sheetView>
  </sheetViews>
  <sheetFormatPr defaultRowHeight="15" x14ac:dyDescent="0.25"/>
  <cols>
    <col min="1" max="1" width="67.85546875" bestFit="1" customWidth="1"/>
    <col min="2" max="2" width="129.28515625" customWidth="1"/>
  </cols>
  <sheetData>
    <row r="1" spans="1:2" x14ac:dyDescent="0.25">
      <c r="A1" s="3" t="s">
        <v>9</v>
      </c>
    </row>
    <row r="2" spans="1:2" x14ac:dyDescent="0.25">
      <c r="A2" t="s">
        <v>10</v>
      </c>
      <c r="B2" t="s">
        <v>158</v>
      </c>
    </row>
    <row r="3" spans="1:2" x14ac:dyDescent="0.25">
      <c r="A3" t="s">
        <v>11</v>
      </c>
      <c r="B3" t="s">
        <v>159</v>
      </c>
    </row>
    <row r="4" spans="1:2" x14ac:dyDescent="0.25">
      <c r="A4" t="s">
        <v>12</v>
      </c>
      <c r="B4" t="s">
        <v>160</v>
      </c>
    </row>
    <row r="6" spans="1:2" x14ac:dyDescent="0.25">
      <c r="A6" s="1" t="s">
        <v>13</v>
      </c>
    </row>
    <row r="7" spans="1:2" x14ac:dyDescent="0.25">
      <c r="A7" t="s">
        <v>14</v>
      </c>
      <c r="B7" t="s">
        <v>161</v>
      </c>
    </row>
    <row r="8" spans="1:2" x14ac:dyDescent="0.25">
      <c r="A8" t="s">
        <v>15</v>
      </c>
      <c r="B8" t="s">
        <v>162</v>
      </c>
    </row>
    <row r="9" spans="1:2" x14ac:dyDescent="0.25">
      <c r="A9" t="s">
        <v>16</v>
      </c>
    </row>
    <row r="10" spans="1:2" x14ac:dyDescent="0.25">
      <c r="A10" s="2" t="s">
        <v>17</v>
      </c>
      <c r="B10" t="s">
        <v>163</v>
      </c>
    </row>
    <row r="11" spans="1:2" x14ac:dyDescent="0.25">
      <c r="A11" s="2" t="s">
        <v>18</v>
      </c>
      <c r="B11" t="s">
        <v>164</v>
      </c>
    </row>
    <row r="12" spans="1:2" x14ac:dyDescent="0.25">
      <c r="A12" s="2" t="s">
        <v>19</v>
      </c>
      <c r="B12" t="s">
        <v>165</v>
      </c>
    </row>
    <row r="13" spans="1:2" x14ac:dyDescent="0.25">
      <c r="A13" s="2" t="s">
        <v>20</v>
      </c>
      <c r="B13" t="s">
        <v>166</v>
      </c>
    </row>
    <row r="15" spans="1:2" x14ac:dyDescent="0.25">
      <c r="A15" s="1" t="s">
        <v>21</v>
      </c>
    </row>
    <row r="16" spans="1:2" x14ac:dyDescent="0.25">
      <c r="A16" t="s">
        <v>22</v>
      </c>
      <c r="B16" t="s">
        <v>167</v>
      </c>
    </row>
    <row r="17" spans="1:2" x14ac:dyDescent="0.25">
      <c r="A17" t="s">
        <v>23</v>
      </c>
      <c r="B17" t="s">
        <v>168</v>
      </c>
    </row>
    <row r="18" spans="1:2" x14ac:dyDescent="0.25">
      <c r="A18" t="s">
        <v>24</v>
      </c>
      <c r="B18" t="s">
        <v>169</v>
      </c>
    </row>
    <row r="20" spans="1:2" x14ac:dyDescent="0.25">
      <c r="A20" s="1" t="s">
        <v>25</v>
      </c>
    </row>
    <row r="21" spans="1:2" x14ac:dyDescent="0.25">
      <c r="A21" t="s">
        <v>26</v>
      </c>
      <c r="B21" t="s">
        <v>170</v>
      </c>
    </row>
    <row r="22" spans="1:2" x14ac:dyDescent="0.25">
      <c r="A22" t="s">
        <v>27</v>
      </c>
      <c r="B22" t="s">
        <v>171</v>
      </c>
    </row>
    <row r="24" spans="1:2" x14ac:dyDescent="0.25">
      <c r="A24" s="1" t="s">
        <v>51</v>
      </c>
    </row>
    <row r="25" spans="1:2" x14ac:dyDescent="0.25">
      <c r="A25" t="s">
        <v>52</v>
      </c>
      <c r="B25" t="s">
        <v>172</v>
      </c>
    </row>
    <row r="26" spans="1:2" x14ac:dyDescent="0.25">
      <c r="A26" t="s">
        <v>53</v>
      </c>
      <c r="B26" t="s">
        <v>173</v>
      </c>
    </row>
    <row r="27" spans="1:2" x14ac:dyDescent="0.25">
      <c r="A27" s="26" t="s">
        <v>67</v>
      </c>
    </row>
    <row r="28" spans="1:2" x14ac:dyDescent="0.25">
      <c r="A28" t="s">
        <v>55</v>
      </c>
      <c r="B28" t="s">
        <v>174</v>
      </c>
    </row>
    <row r="29" spans="1:2" x14ac:dyDescent="0.25">
      <c r="A29" t="s">
        <v>54</v>
      </c>
      <c r="B29" t="s">
        <v>175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0C1D4-0506-4940-8958-C7F031C91FEF}">
  <dimension ref="A1:B29"/>
  <sheetViews>
    <sheetView showGridLines="0" zoomScale="110" zoomScaleNormal="110" workbookViewId="0">
      <selection activeCell="B13" sqref="B13"/>
    </sheetView>
  </sheetViews>
  <sheetFormatPr defaultRowHeight="15" x14ac:dyDescent="0.25"/>
  <cols>
    <col min="1" max="1" width="67.85546875" bestFit="1" customWidth="1"/>
    <col min="2" max="2" width="150.5703125" customWidth="1"/>
  </cols>
  <sheetData>
    <row r="1" spans="1:2" x14ac:dyDescent="0.25">
      <c r="A1" s="3" t="s">
        <v>9</v>
      </c>
    </row>
    <row r="2" spans="1:2" x14ac:dyDescent="0.25">
      <c r="A2" t="s">
        <v>10</v>
      </c>
      <c r="B2" t="s">
        <v>176</v>
      </c>
    </row>
    <row r="3" spans="1:2" x14ac:dyDescent="0.25">
      <c r="A3" t="s">
        <v>11</v>
      </c>
      <c r="B3" t="s">
        <v>177</v>
      </c>
    </row>
    <row r="4" spans="1:2" x14ac:dyDescent="0.25">
      <c r="A4" t="s">
        <v>12</v>
      </c>
      <c r="B4" t="s">
        <v>178</v>
      </c>
    </row>
    <row r="6" spans="1:2" x14ac:dyDescent="0.25">
      <c r="A6" s="1" t="s">
        <v>13</v>
      </c>
    </row>
    <row r="7" spans="1:2" x14ac:dyDescent="0.25">
      <c r="A7" t="s">
        <v>14</v>
      </c>
      <c r="B7" t="s">
        <v>179</v>
      </c>
    </row>
    <row r="8" spans="1:2" x14ac:dyDescent="0.25">
      <c r="A8" t="s">
        <v>15</v>
      </c>
      <c r="B8" t="s">
        <v>180</v>
      </c>
    </row>
    <row r="9" spans="1:2" x14ac:dyDescent="0.25">
      <c r="A9" t="s">
        <v>16</v>
      </c>
    </row>
    <row r="10" spans="1:2" x14ac:dyDescent="0.25">
      <c r="A10" s="2" t="s">
        <v>17</v>
      </c>
      <c r="B10" t="s">
        <v>181</v>
      </c>
    </row>
    <row r="11" spans="1:2" x14ac:dyDescent="0.25">
      <c r="A11" s="2" t="s">
        <v>18</v>
      </c>
      <c r="B11" t="s">
        <v>182</v>
      </c>
    </row>
    <row r="12" spans="1:2" x14ac:dyDescent="0.25">
      <c r="A12" s="2" t="s">
        <v>19</v>
      </c>
      <c r="B12" t="s">
        <v>183</v>
      </c>
    </row>
    <row r="13" spans="1:2" x14ac:dyDescent="0.25">
      <c r="A13" s="2" t="s">
        <v>20</v>
      </c>
      <c r="B13" t="s">
        <v>184</v>
      </c>
    </row>
    <row r="15" spans="1:2" x14ac:dyDescent="0.25">
      <c r="A15" s="1" t="s">
        <v>21</v>
      </c>
    </row>
    <row r="16" spans="1:2" x14ac:dyDescent="0.25">
      <c r="A16" t="s">
        <v>22</v>
      </c>
      <c r="B16" t="s">
        <v>185</v>
      </c>
    </row>
    <row r="17" spans="1:2" x14ac:dyDescent="0.25">
      <c r="A17" t="s">
        <v>23</v>
      </c>
      <c r="B17" t="s">
        <v>186</v>
      </c>
    </row>
    <row r="18" spans="1:2" x14ac:dyDescent="0.25">
      <c r="A18" t="s">
        <v>24</v>
      </c>
      <c r="B18" t="s">
        <v>187</v>
      </c>
    </row>
    <row r="20" spans="1:2" x14ac:dyDescent="0.25">
      <c r="A20" s="1" t="s">
        <v>25</v>
      </c>
    </row>
    <row r="21" spans="1:2" x14ac:dyDescent="0.25">
      <c r="A21" t="s">
        <v>26</v>
      </c>
      <c r="B21" t="s">
        <v>188</v>
      </c>
    </row>
    <row r="22" spans="1:2" x14ac:dyDescent="0.25">
      <c r="A22" t="s">
        <v>27</v>
      </c>
      <c r="B22" t="s">
        <v>189</v>
      </c>
    </row>
    <row r="24" spans="1:2" x14ac:dyDescent="0.25">
      <c r="A24" s="1" t="s">
        <v>51</v>
      </c>
    </row>
    <row r="25" spans="1:2" x14ac:dyDescent="0.25">
      <c r="A25" t="s">
        <v>52</v>
      </c>
      <c r="B25" t="s">
        <v>190</v>
      </c>
    </row>
    <row r="26" spans="1:2" x14ac:dyDescent="0.25">
      <c r="A26" t="s">
        <v>53</v>
      </c>
      <c r="B26" t="s">
        <v>191</v>
      </c>
    </row>
    <row r="27" spans="1:2" x14ac:dyDescent="0.25">
      <c r="A27" s="26" t="s">
        <v>67</v>
      </c>
    </row>
    <row r="28" spans="1:2" x14ac:dyDescent="0.25">
      <c r="A28" t="s">
        <v>55</v>
      </c>
      <c r="B28" t="s">
        <v>192</v>
      </c>
    </row>
    <row r="29" spans="1:2" x14ac:dyDescent="0.25">
      <c r="A29" t="s">
        <v>54</v>
      </c>
      <c r="B29" t="s">
        <v>193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Input</vt:lpstr>
      <vt:lpstr>View data</vt:lpstr>
      <vt:lpstr>Workmates Core2Cloud</vt:lpstr>
      <vt:lpstr>TechD Cybersecurity</vt:lpstr>
      <vt:lpstr>Namo eWaste Management Ltd</vt:lpstr>
      <vt:lpstr>Chatha Foods Ltd</vt:lpstr>
      <vt:lpstr>Yash Highvoltage Ltd</vt:lpstr>
      <vt:lpstr>Sunlite Recycling Industries Lt</vt:lpstr>
      <vt:lpstr>Paradeep Parivahan Ltd</vt:lpstr>
      <vt:lpstr>Silkflex Polymers (India) Ltd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Kumar</dc:creator>
  <cp:lastModifiedBy>Ayush Kumar</cp:lastModifiedBy>
  <dcterms:created xsi:type="dcterms:W3CDTF">2026-04-18T09:29:31Z</dcterms:created>
  <dcterms:modified xsi:type="dcterms:W3CDTF">2026-04-19T18:00:42Z</dcterms:modified>
</cp:coreProperties>
</file>