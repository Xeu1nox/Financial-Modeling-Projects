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llua\"/>
    </mc:Choice>
  </mc:AlternateContent>
  <xr:revisionPtr revIDLastSave="0" documentId="8_{3A4161BF-08EB-4474-860A-CC3AB7775AB6}" xr6:coauthVersionLast="47" xr6:coauthVersionMax="47" xr10:uidLastSave="{00000000-0000-0000-0000-000000000000}"/>
  <bookViews>
    <workbookView xWindow="-108" yWindow="-108" windowWidth="30936" windowHeight="16776" tabRatio="769" activeTab="9" xr2:uid="{0844DA8D-1667-48B3-A2F9-CC4123CD1E58}"/>
  </bookViews>
  <sheets>
    <sheet name="Input" sheetId="1" r:id="rId1"/>
    <sheet name="Revenue" sheetId="2" r:id="rId2"/>
    <sheet name="P&amp;L" sheetId="3" r:id="rId3"/>
    <sheet name="Fixed assets" sheetId="4" r:id="rId4"/>
    <sheet name="Debt schedule" sheetId="5" r:id="rId5"/>
    <sheet name="Working capital" sheetId="6" r:id="rId6"/>
    <sheet name="Cashflow Statement" sheetId="8" r:id="rId7"/>
    <sheet name="Balance sheet" sheetId="7" r:id="rId8"/>
    <sheet name="Sheet1" sheetId="10" state="hidden" r:id="rId9"/>
    <sheet name="Free Cashflow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1" l="1"/>
  <c r="F11" i="11"/>
  <c r="G11" i="11"/>
  <c r="H11" i="11"/>
  <c r="D11" i="11"/>
  <c r="E13" i="11" l="1"/>
  <c r="F13" i="11"/>
  <c r="G13" i="11"/>
  <c r="H13" i="11"/>
  <c r="D13" i="11"/>
  <c r="E12" i="11"/>
  <c r="F12" i="11"/>
  <c r="G12" i="11"/>
  <c r="H12" i="11"/>
  <c r="D12" i="11"/>
  <c r="E10" i="11"/>
  <c r="F10" i="11"/>
  <c r="G10" i="11"/>
  <c r="H10" i="11"/>
  <c r="D10" i="11"/>
  <c r="E9" i="11"/>
  <c r="F9" i="11"/>
  <c r="G9" i="11"/>
  <c r="H9" i="11"/>
  <c r="D9" i="11"/>
  <c r="E8" i="11"/>
  <c r="F8" i="11"/>
  <c r="G8" i="11"/>
  <c r="H8" i="11"/>
  <c r="D8" i="11"/>
  <c r="E7" i="11"/>
  <c r="F7" i="11"/>
  <c r="G7" i="11"/>
  <c r="H7" i="11"/>
  <c r="D7" i="11"/>
  <c r="E6" i="11"/>
  <c r="F6" i="11"/>
  <c r="G6" i="11"/>
  <c r="H6" i="11"/>
  <c r="D6" i="11"/>
  <c r="E5" i="11"/>
  <c r="F5" i="11"/>
  <c r="G5" i="11"/>
  <c r="H5" i="11"/>
  <c r="D5" i="11"/>
  <c r="E4" i="11"/>
  <c r="F4" i="11"/>
  <c r="G4" i="11"/>
  <c r="H4" i="11"/>
  <c r="D4" i="11"/>
  <c r="D2" i="11"/>
  <c r="E2" i="11" s="1"/>
  <c r="F2" i="11" s="1"/>
  <c r="G2" i="11" s="1"/>
  <c r="H2" i="11" s="1"/>
  <c r="E5" i="7"/>
  <c r="F5" i="7"/>
  <c r="G5" i="7"/>
  <c r="H5" i="7"/>
  <c r="D5" i="7"/>
  <c r="E25" i="7"/>
  <c r="F25" i="7"/>
  <c r="G25" i="7"/>
  <c r="H25" i="7"/>
  <c r="D25" i="7"/>
  <c r="E26" i="8"/>
  <c r="F26" i="8"/>
  <c r="G26" i="8"/>
  <c r="H26" i="8" s="1"/>
  <c r="D26" i="8"/>
  <c r="E11" i="8" l="1"/>
  <c r="E10" i="8"/>
  <c r="F10" i="8"/>
  <c r="G10" i="8"/>
  <c r="H10" i="8"/>
  <c r="D10" i="8"/>
  <c r="D11" i="8"/>
  <c r="D25" i="8" s="1"/>
  <c r="E6" i="6"/>
  <c r="F6" i="6"/>
  <c r="G6" i="6"/>
  <c r="H6" i="6"/>
  <c r="D6" i="6"/>
  <c r="D27" i="2"/>
  <c r="D26" i="2"/>
  <c r="F10" i="6"/>
  <c r="E4" i="6"/>
  <c r="F4" i="6"/>
  <c r="G4" i="6"/>
  <c r="H4" i="6"/>
  <c r="D4" i="6"/>
  <c r="G10" i="6"/>
  <c r="H10" i="6"/>
  <c r="G28" i="2"/>
  <c r="F28" i="2"/>
  <c r="D5" i="5"/>
  <c r="D4" i="5"/>
  <c r="E3" i="5" s="1"/>
  <c r="E9" i="4"/>
  <c r="D9" i="4"/>
  <c r="D8" i="4"/>
  <c r="E4" i="4"/>
  <c r="D10" i="4"/>
  <c r="D7" i="4"/>
  <c r="E27" i="2"/>
  <c r="F27" i="2"/>
  <c r="G27" i="2"/>
  <c r="H27" i="2"/>
  <c r="D18" i="2"/>
  <c r="D23" i="7"/>
  <c r="D8" i="8" s="1"/>
  <c r="E23" i="7"/>
  <c r="E8" i="8" s="1"/>
  <c r="F23" i="7"/>
  <c r="F8" i="8" s="1"/>
  <c r="G23" i="7"/>
  <c r="G8" i="8" s="1"/>
  <c r="H23" i="7"/>
  <c r="H8" i="8" s="1"/>
  <c r="D28" i="2" l="1"/>
  <c r="D23" i="8" l="1"/>
  <c r="E21" i="8"/>
  <c r="F21" i="8"/>
  <c r="G21" i="8"/>
  <c r="H21" i="8"/>
  <c r="D21" i="8"/>
  <c r="D20" i="8"/>
  <c r="E19" i="8"/>
  <c r="F19" i="8"/>
  <c r="G19" i="8"/>
  <c r="H19" i="8"/>
  <c r="D19" i="8"/>
  <c r="E16" i="8"/>
  <c r="F16" i="8"/>
  <c r="G16" i="8"/>
  <c r="H16" i="8"/>
  <c r="D16" i="8"/>
  <c r="E15" i="8"/>
  <c r="F15" i="8"/>
  <c r="G15" i="8"/>
  <c r="H15" i="8"/>
  <c r="D15" i="8"/>
  <c r="D6" i="8"/>
  <c r="D6" i="7"/>
  <c r="E4" i="7"/>
  <c r="F4" i="7"/>
  <c r="G4" i="7"/>
  <c r="H4" i="7"/>
  <c r="D4" i="7"/>
  <c r="D20" i="7"/>
  <c r="D10" i="7"/>
  <c r="D7" i="5"/>
  <c r="D13" i="3"/>
  <c r="D11" i="3"/>
  <c r="D5" i="8"/>
  <c r="F5" i="4"/>
  <c r="E7" i="6"/>
  <c r="F7" i="6"/>
  <c r="G7" i="6"/>
  <c r="H7" i="6"/>
  <c r="D7" i="6"/>
  <c r="F11" i="6"/>
  <c r="G11" i="6"/>
  <c r="H11" i="6"/>
  <c r="E11" i="6"/>
  <c r="D11" i="6"/>
  <c r="F5" i="6"/>
  <c r="G5" i="6" s="1"/>
  <c r="H5" i="6" s="1"/>
  <c r="E5" i="6"/>
  <c r="D5" i="6"/>
  <c r="E7" i="5" l="1"/>
  <c r="E13" i="3" s="1"/>
  <c r="E5" i="5"/>
  <c r="E10" i="7" s="1"/>
  <c r="F3" i="5"/>
  <c r="F5" i="5" s="1"/>
  <c r="E4" i="5"/>
  <c r="F4" i="5"/>
  <c r="G4" i="5"/>
  <c r="H4" i="5"/>
  <c r="D3" i="5"/>
  <c r="F7" i="5" l="1"/>
  <c r="F13" i="3" s="1"/>
  <c r="G3" i="5"/>
  <c r="F10" i="7"/>
  <c r="E23" i="8"/>
  <c r="E6" i="8"/>
  <c r="E7" i="4"/>
  <c r="F4" i="4" s="1"/>
  <c r="D4" i="4"/>
  <c r="D5" i="4"/>
  <c r="G5" i="5" l="1"/>
  <c r="G7" i="5"/>
  <c r="G13" i="3" s="1"/>
  <c r="F23" i="8"/>
  <c r="F6" i="8"/>
  <c r="F7" i="4"/>
  <c r="G4" i="4" s="1"/>
  <c r="E8" i="4"/>
  <c r="E10" i="4" s="1"/>
  <c r="E9" i="3"/>
  <c r="F9" i="3"/>
  <c r="G9" i="3"/>
  <c r="H9" i="3"/>
  <c r="D9" i="3"/>
  <c r="E8" i="3"/>
  <c r="F8" i="3" s="1"/>
  <c r="G8" i="3" s="1"/>
  <c r="H8" i="3" s="1"/>
  <c r="D8" i="3"/>
  <c r="E7" i="3"/>
  <c r="F7" i="3"/>
  <c r="G7" i="3"/>
  <c r="H7" i="3"/>
  <c r="D7" i="3"/>
  <c r="F4" i="3"/>
  <c r="F5" i="3" s="1"/>
  <c r="F10" i="3" s="1"/>
  <c r="G4" i="3"/>
  <c r="D3" i="3"/>
  <c r="E3" i="3"/>
  <c r="F3" i="3"/>
  <c r="G3" i="3"/>
  <c r="H3" i="3"/>
  <c r="E2" i="3"/>
  <c r="F2" i="3" s="1"/>
  <c r="G2" i="3" s="1"/>
  <c r="H2" i="3" s="1"/>
  <c r="H28" i="2"/>
  <c r="H4" i="3" s="1"/>
  <c r="D4" i="3"/>
  <c r="E26" i="2"/>
  <c r="F26" i="2"/>
  <c r="G26" i="2"/>
  <c r="H26" i="2"/>
  <c r="E25" i="2"/>
  <c r="F25" i="2"/>
  <c r="G25" i="2"/>
  <c r="H25" i="2"/>
  <c r="D25" i="2"/>
  <c r="E23" i="2"/>
  <c r="F23" i="2" s="1"/>
  <c r="G23" i="2" s="1"/>
  <c r="H23" i="2" s="1"/>
  <c r="D23" i="2"/>
  <c r="E22" i="2"/>
  <c r="F22" i="2" s="1"/>
  <c r="G22" i="2" s="1"/>
  <c r="H22" i="2" s="1"/>
  <c r="D22" i="2"/>
  <c r="E17" i="2"/>
  <c r="F17" i="2" s="1"/>
  <c r="G17" i="2" s="1"/>
  <c r="H17" i="2" s="1"/>
  <c r="D17" i="2"/>
  <c r="E12" i="2"/>
  <c r="F12" i="2"/>
  <c r="G12" i="2"/>
  <c r="H12" i="2"/>
  <c r="D13" i="2"/>
  <c r="D14" i="2" s="1"/>
  <c r="D12" i="2"/>
  <c r="E8" i="2"/>
  <c r="F8" i="2"/>
  <c r="G8" i="2"/>
  <c r="H8" i="2"/>
  <c r="D8" i="2"/>
  <c r="E6" i="2"/>
  <c r="F6" i="2"/>
  <c r="G6" i="2"/>
  <c r="H6" i="2"/>
  <c r="D6" i="2"/>
  <c r="E5" i="2"/>
  <c r="F5" i="2" s="1"/>
  <c r="G5" i="2" s="1"/>
  <c r="H5" i="2" s="1"/>
  <c r="D5" i="2"/>
  <c r="E4" i="2"/>
  <c r="F4" i="2"/>
  <c r="G4" i="2"/>
  <c r="H4" i="2"/>
  <c r="D4" i="2"/>
  <c r="D2" i="8"/>
  <c r="E2" i="8" s="1"/>
  <c r="F2" i="8" s="1"/>
  <c r="G2" i="8" s="1"/>
  <c r="H2" i="8" s="1"/>
  <c r="D2" i="7"/>
  <c r="E2" i="7" s="1"/>
  <c r="F2" i="7" s="1"/>
  <c r="G2" i="7" s="1"/>
  <c r="H2" i="7" s="1"/>
  <c r="D2" i="6"/>
  <c r="E2" i="6" s="1"/>
  <c r="F2" i="6" s="1"/>
  <c r="G2" i="6" s="1"/>
  <c r="H2" i="6" s="1"/>
  <c r="D2" i="5"/>
  <c r="E2" i="5" s="1"/>
  <c r="F2" i="5" s="1"/>
  <c r="G2" i="5" s="1"/>
  <c r="H2" i="5" s="1"/>
  <c r="D2" i="4"/>
  <c r="E2" i="4" s="1"/>
  <c r="F2" i="4" s="1"/>
  <c r="G2" i="4" s="1"/>
  <c r="H2" i="4" s="1"/>
  <c r="D2" i="3"/>
  <c r="D2" i="2"/>
  <c r="E2" i="2" s="1"/>
  <c r="F2" i="2" s="1"/>
  <c r="G2" i="2" s="1"/>
  <c r="H2" i="2" s="1"/>
  <c r="E28" i="2" l="1"/>
  <c r="E4" i="3" s="1"/>
  <c r="D12" i="6"/>
  <c r="D10" i="6"/>
  <c r="G23" i="8"/>
  <c r="G6" i="8"/>
  <c r="H3" i="5"/>
  <c r="G10" i="7"/>
  <c r="E11" i="3"/>
  <c r="E5" i="8"/>
  <c r="E20" i="7"/>
  <c r="F8" i="4"/>
  <c r="F10" i="4" s="1"/>
  <c r="H13" i="7"/>
  <c r="H5" i="3"/>
  <c r="H10" i="3" s="1"/>
  <c r="G13" i="7"/>
  <c r="F13" i="7"/>
  <c r="F14" i="7" s="1"/>
  <c r="G5" i="3"/>
  <c r="G10" i="3" s="1"/>
  <c r="D13" i="7"/>
  <c r="D5" i="3"/>
  <c r="D10" i="3" s="1"/>
  <c r="D12" i="3" s="1"/>
  <c r="D14" i="3" s="1"/>
  <c r="D15" i="3" s="1"/>
  <c r="D15" i="2"/>
  <c r="E11" i="2" s="1"/>
  <c r="E13" i="2" s="1"/>
  <c r="E10" i="6" l="1"/>
  <c r="E13" i="7" s="1"/>
  <c r="E5" i="3"/>
  <c r="E10" i="3" s="1"/>
  <c r="E12" i="3" s="1"/>
  <c r="E14" i="3" s="1"/>
  <c r="E15" i="3" s="1"/>
  <c r="H5" i="5"/>
  <c r="H10" i="7" s="1"/>
  <c r="H7" i="5"/>
  <c r="H13" i="3" s="1"/>
  <c r="F5" i="8"/>
  <c r="F11" i="3"/>
  <c r="F12" i="3" s="1"/>
  <c r="F14" i="3" s="1"/>
  <c r="F15" i="3" s="1"/>
  <c r="F16" i="3" s="1"/>
  <c r="F4" i="8" s="1"/>
  <c r="F7" i="8" s="1"/>
  <c r="F9" i="4"/>
  <c r="G14" i="7"/>
  <c r="G24" i="7"/>
  <c r="G12" i="6"/>
  <c r="H14" i="7"/>
  <c r="F24" i="7"/>
  <c r="F12" i="6"/>
  <c r="H24" i="7"/>
  <c r="H12" i="6"/>
  <c r="D15" i="7"/>
  <c r="D14" i="7"/>
  <c r="E14" i="7"/>
  <c r="D24" i="7"/>
  <c r="D9" i="8" s="1"/>
  <c r="E24" i="7"/>
  <c r="E6" i="7"/>
  <c r="E15" i="7" s="1"/>
  <c r="D16" i="3"/>
  <c r="D4" i="8" s="1"/>
  <c r="D7" i="8" s="1"/>
  <c r="E14" i="2"/>
  <c r="E18" i="2" s="1"/>
  <c r="E15" i="2"/>
  <c r="F11" i="2" s="1"/>
  <c r="F13" i="2" s="1"/>
  <c r="E12" i="6" l="1"/>
  <c r="F14" i="6" s="1"/>
  <c r="H9" i="8"/>
  <c r="H23" i="8"/>
  <c r="H6" i="8"/>
  <c r="F20" i="7"/>
  <c r="G7" i="4"/>
  <c r="G14" i="6"/>
  <c r="G9" i="8"/>
  <c r="H14" i="6"/>
  <c r="F9" i="8"/>
  <c r="F11" i="8" s="1"/>
  <c r="F25" i="8" s="1"/>
  <c r="F27" i="7" s="1"/>
  <c r="E9" i="8"/>
  <c r="E16" i="3"/>
  <c r="E4" i="8" s="1"/>
  <c r="E7" i="8" s="1"/>
  <c r="F6" i="7"/>
  <c r="F15" i="7" s="1"/>
  <c r="F14" i="2"/>
  <c r="F18" i="2" s="1"/>
  <c r="F15" i="2"/>
  <c r="G11" i="2" s="1"/>
  <c r="G13" i="2" s="1"/>
  <c r="E14" i="6" l="1"/>
  <c r="D27" i="7"/>
  <c r="D28" i="7" s="1"/>
  <c r="G8" i="4"/>
  <c r="H4" i="4"/>
  <c r="H7" i="4"/>
  <c r="H8" i="4" s="1"/>
  <c r="H10" i="4" s="1"/>
  <c r="F28" i="7"/>
  <c r="E25" i="8"/>
  <c r="E27" i="7" s="1"/>
  <c r="E28" i="7" s="1"/>
  <c r="G6" i="7"/>
  <c r="G15" i="7" s="1"/>
  <c r="G14" i="2"/>
  <c r="G18" i="2" s="1"/>
  <c r="G15" i="2"/>
  <c r="H11" i="2" s="1"/>
  <c r="H13" i="2" s="1"/>
  <c r="H9" i="4" l="1"/>
  <c r="H20" i="7" s="1"/>
  <c r="G9" i="4"/>
  <c r="G20" i="7" s="1"/>
  <c r="G10" i="4"/>
  <c r="H5" i="8"/>
  <c r="H11" i="3"/>
  <c r="H12" i="3" s="1"/>
  <c r="H14" i="3" s="1"/>
  <c r="H15" i="3" s="1"/>
  <c r="H16" i="3" s="1"/>
  <c r="H4" i="8" s="1"/>
  <c r="H14" i="2"/>
  <c r="H18" i="2" s="1"/>
  <c r="H7" i="8" l="1"/>
  <c r="H11" i="8" s="1"/>
  <c r="H25" i="8" s="1"/>
  <c r="H27" i="7" s="1"/>
  <c r="G11" i="3"/>
  <c r="G12" i="3" s="1"/>
  <c r="G14" i="3" s="1"/>
  <c r="G15" i="3" s="1"/>
  <c r="H6" i="7" s="1"/>
  <c r="H15" i="7" s="1"/>
  <c r="G5" i="8"/>
  <c r="H15" i="2"/>
  <c r="H28" i="7" l="1"/>
  <c r="G16" i="3"/>
  <c r="G4" i="8" s="1"/>
  <c r="G7" i="8" s="1"/>
  <c r="G11" i="8" s="1"/>
  <c r="G25" i="8" s="1"/>
  <c r="G27" i="7" s="1"/>
  <c r="G28" i="7" s="1"/>
</calcChain>
</file>

<file path=xl/sharedStrings.xml><?xml version="1.0" encoding="utf-8"?>
<sst xmlns="http://schemas.openxmlformats.org/spreadsheetml/2006/main" count="271" uniqueCount="146">
  <si>
    <t>Name of the Company</t>
  </si>
  <si>
    <t>Alpha Plastics Pvt Ltd</t>
  </si>
  <si>
    <t>Production Capacity</t>
  </si>
  <si>
    <t>Capacity Utilization (Year 1)</t>
  </si>
  <si>
    <t>Utilization Growth</t>
  </si>
  <si>
    <t>Units Sold (% of production)</t>
  </si>
  <si>
    <t>Operations</t>
  </si>
  <si>
    <t>units/year</t>
  </si>
  <si>
    <t>Percent</t>
  </si>
  <si>
    <t>Percent/year</t>
  </si>
  <si>
    <t>Selling price</t>
  </si>
  <si>
    <t>Annual growth rate</t>
  </si>
  <si>
    <t>Raw material per unit</t>
  </si>
  <si>
    <t>Rs</t>
  </si>
  <si>
    <t>Labour cost per unit</t>
  </si>
  <si>
    <t>Raw material growth</t>
  </si>
  <si>
    <t>Labour cost growth</t>
  </si>
  <si>
    <t>Operating Expenses</t>
  </si>
  <si>
    <t>Fixed SG&amp;A</t>
  </si>
  <si>
    <t>percent</t>
  </si>
  <si>
    <t xml:space="preserve">Sales commission </t>
  </si>
  <si>
    <t xml:space="preserve">Capital Expenditure </t>
  </si>
  <si>
    <t>Equipment</t>
  </si>
  <si>
    <t>Depreciation rate</t>
  </si>
  <si>
    <t>Additional Capex</t>
  </si>
  <si>
    <t>Debt</t>
  </si>
  <si>
    <t>Loan</t>
  </si>
  <si>
    <t>Interest rate</t>
  </si>
  <si>
    <t>Loan Repayment period</t>
  </si>
  <si>
    <t>years</t>
  </si>
  <si>
    <t>Working capital</t>
  </si>
  <si>
    <t>Debtor days</t>
  </si>
  <si>
    <t>Annual reduction in debtor days</t>
  </si>
  <si>
    <t>Creditor days</t>
  </si>
  <si>
    <t>Annual increase in creditor days</t>
  </si>
  <si>
    <t>Inventory days</t>
  </si>
  <si>
    <t>Days</t>
  </si>
  <si>
    <t>Tax rate</t>
  </si>
  <si>
    <t>Particulars</t>
  </si>
  <si>
    <t>Year endings</t>
  </si>
  <si>
    <t>FY2025</t>
  </si>
  <si>
    <t>FY2026</t>
  </si>
  <si>
    <t>FY2027</t>
  </si>
  <si>
    <t>FY2028</t>
  </si>
  <si>
    <t>FY2029</t>
  </si>
  <si>
    <t>Start of the Business</t>
  </si>
  <si>
    <t>FY2024</t>
  </si>
  <si>
    <t>Annual production capacity</t>
  </si>
  <si>
    <t>Units</t>
  </si>
  <si>
    <t>Capacity Utilization</t>
  </si>
  <si>
    <t>Percentage</t>
  </si>
  <si>
    <t>Total Production</t>
  </si>
  <si>
    <t>Units sold (as % of available units)</t>
  </si>
  <si>
    <t>Units available</t>
  </si>
  <si>
    <t>Opening stock</t>
  </si>
  <si>
    <t>Add: Production</t>
  </si>
  <si>
    <t>Available units</t>
  </si>
  <si>
    <t>Units sold</t>
  </si>
  <si>
    <t>Closing stock</t>
  </si>
  <si>
    <t>Selling price per unit</t>
  </si>
  <si>
    <t>Rs/Unit</t>
  </si>
  <si>
    <t>Revenue</t>
  </si>
  <si>
    <t>COGS</t>
  </si>
  <si>
    <t>Cost of production</t>
  </si>
  <si>
    <t>Material/unit</t>
  </si>
  <si>
    <t>Labour/unit</t>
  </si>
  <si>
    <t>Total cost of production</t>
  </si>
  <si>
    <t>Less: Closing stock</t>
  </si>
  <si>
    <t>Cost of goods sold</t>
  </si>
  <si>
    <t>Less: COGS</t>
  </si>
  <si>
    <t>Gross profit</t>
  </si>
  <si>
    <t>Less: Indirect cost</t>
  </si>
  <si>
    <t>Commission on sales</t>
  </si>
  <si>
    <t>SG&amp;A</t>
  </si>
  <si>
    <t>Total Indirect cost</t>
  </si>
  <si>
    <t>EBITDA</t>
  </si>
  <si>
    <t>Less: Dep. And Amortization</t>
  </si>
  <si>
    <t>EBIT</t>
  </si>
  <si>
    <t>Less: Interest expenses</t>
  </si>
  <si>
    <t>EBT</t>
  </si>
  <si>
    <t>Less: Income Tax</t>
  </si>
  <si>
    <t>Opening balance</t>
  </si>
  <si>
    <t>Add: Purchases</t>
  </si>
  <si>
    <t>Less: Sales</t>
  </si>
  <si>
    <t>Gross block</t>
  </si>
  <si>
    <t>Opening loan</t>
  </si>
  <si>
    <t>Closing balance</t>
  </si>
  <si>
    <t>Less: Principal repayment</t>
  </si>
  <si>
    <t>Current Assets</t>
  </si>
  <si>
    <t>Debtors</t>
  </si>
  <si>
    <t>Debtors days</t>
  </si>
  <si>
    <t>Current Liabilities</t>
  </si>
  <si>
    <t>Creditors</t>
  </si>
  <si>
    <t>Inventory</t>
  </si>
  <si>
    <t>Net working capital</t>
  </si>
  <si>
    <t>Change in Working Capital</t>
  </si>
  <si>
    <t>Net income</t>
  </si>
  <si>
    <t>Less: Accumulated depeciation</t>
  </si>
  <si>
    <t>Net block</t>
  </si>
  <si>
    <t>Add: Depreciation</t>
  </si>
  <si>
    <t>Liabilities</t>
  </si>
  <si>
    <t>Non-current liabilities</t>
  </si>
  <si>
    <t>Loan from bank</t>
  </si>
  <si>
    <t>Current liabilities</t>
  </si>
  <si>
    <t>Equity</t>
  </si>
  <si>
    <t>Total Liabilities</t>
  </si>
  <si>
    <t>Assets</t>
  </si>
  <si>
    <t>Non-current assets</t>
  </si>
  <si>
    <t>Fixed assets</t>
  </si>
  <si>
    <t>Equipments</t>
  </si>
  <si>
    <t>Current assets</t>
  </si>
  <si>
    <t>Cash</t>
  </si>
  <si>
    <t>Total assets</t>
  </si>
  <si>
    <t>Check</t>
  </si>
  <si>
    <t>Total (Liabilities &amp; Equities)</t>
  </si>
  <si>
    <t>Share capital</t>
  </si>
  <si>
    <t>Retained earnings</t>
  </si>
  <si>
    <t>Total equity</t>
  </si>
  <si>
    <t>Add: Interest expenses</t>
  </si>
  <si>
    <t>Cashflow from Operations before impact of working capital</t>
  </si>
  <si>
    <t>Changes in Debtors</t>
  </si>
  <si>
    <t>Changes in Creditors</t>
  </si>
  <si>
    <t>Changes in Inventory</t>
  </si>
  <si>
    <t>Cashflow from operations</t>
  </si>
  <si>
    <t>Cashflow from Operating activities</t>
  </si>
  <si>
    <t>Cashflow from Investing activities</t>
  </si>
  <si>
    <t>Purchases:</t>
  </si>
  <si>
    <t>Debt taken</t>
  </si>
  <si>
    <t>Debt repaid</t>
  </si>
  <si>
    <t>Cashflow from Financing activities</t>
  </si>
  <si>
    <t>Interest expenses</t>
  </si>
  <si>
    <t>Net Income</t>
  </si>
  <si>
    <t>Depreciation for the year</t>
  </si>
  <si>
    <t>Net cashflow</t>
  </si>
  <si>
    <t>Creditors + Loan</t>
  </si>
  <si>
    <t>Free cashflow calculation</t>
  </si>
  <si>
    <t>Rs.</t>
  </si>
  <si>
    <t>Add: Depreciations</t>
  </si>
  <si>
    <t>Less: Capital expenditure</t>
  </si>
  <si>
    <t>Less: Change in working capital</t>
  </si>
  <si>
    <t>Less: Tax</t>
  </si>
  <si>
    <t>NOPAT</t>
  </si>
  <si>
    <t>Less: Interest after tax</t>
  </si>
  <si>
    <t>Add/Less: Debt taken/paid</t>
  </si>
  <si>
    <t>Free cashflow to Equity (FCFE)</t>
  </si>
  <si>
    <t>Free cashflow to Firm (FCFF)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</si>
</sst>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9" fontId="0" fillId="0" borderId="0" xfId="0" applyNumberFormat="1"/>
    <xf numFmtId="3" fontId="0" fillId="0" borderId="0" xfId="0" applyNumberFormat="1"/>
    <xf numFmtId="41" fontId="0" fillId="0" borderId="0" xfId="0" applyNumberFormat="1"/>
    <xf numFmtId="9" fontId="2" fillId="0" borderId="0" xfId="0" applyNumberFormat="1" applyFont="1"/>
    <xf numFmtId="14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164" fontId="0" fillId="0" borderId="0" xfId="1" applyNumberFormat="1" applyFont="1"/>
    <xf numFmtId="164" fontId="0" fillId="0" borderId="0" xfId="0" applyNumberFormat="1"/>
    <xf numFmtId="3" fontId="2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3" fontId="0" fillId="0" borderId="0" xfId="1" applyNumberFormat="1" applyFont="1"/>
    <xf numFmtId="3" fontId="0" fillId="0" borderId="1" xfId="0" applyNumberFormat="1" applyBorder="1"/>
    <xf numFmtId="3" fontId="5" fillId="0" borderId="0" xfId="0" applyNumberFormat="1" applyFont="1"/>
    <xf numFmtId="1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2" xfId="0" applyFont="1" applyBorder="1"/>
    <xf numFmtId="3" fontId="2" fillId="0" borderId="2" xfId="0" applyNumberFormat="1" applyFont="1" applyBorder="1"/>
    <xf numFmtId="3" fontId="6" fillId="0" borderId="0" xfId="0" applyNumberFormat="1" applyFont="1"/>
    <xf numFmtId="37" fontId="0" fillId="0" borderId="0" xfId="0" applyNumberFormat="1"/>
    <xf numFmtId="0" fontId="8" fillId="0" borderId="0" xfId="0" applyFont="1"/>
    <xf numFmtId="0" fontId="7" fillId="0" borderId="0" xfId="0" applyFont="1"/>
    <xf numFmtId="41" fontId="2" fillId="0" borderId="0" xfId="0" applyNumberFormat="1" applyFont="1"/>
    <xf numFmtId="41" fontId="2" fillId="0" borderId="1" xfId="0" applyNumberFormat="1" applyFont="1" applyBorder="1"/>
    <xf numFmtId="41" fontId="2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9FB3-6921-49B2-82C5-62A172A10AA6}">
  <dimension ref="A1:C39"/>
  <sheetViews>
    <sheetView showGridLines="0" zoomScale="115" zoomScaleNormal="115" workbookViewId="0">
      <selection activeCell="D31" sqref="D31"/>
    </sheetView>
  </sheetViews>
  <sheetFormatPr defaultRowHeight="14.4" x14ac:dyDescent="0.3"/>
  <cols>
    <col min="1" max="1" width="30" customWidth="1"/>
    <col min="2" max="2" width="19.88671875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45</v>
      </c>
      <c r="B2" s="6">
        <v>45383</v>
      </c>
    </row>
    <row r="4" spans="1:3" x14ac:dyDescent="0.3">
      <c r="A4" s="1" t="s">
        <v>6</v>
      </c>
    </row>
    <row r="5" spans="1:3" x14ac:dyDescent="0.3">
      <c r="A5" t="s">
        <v>2</v>
      </c>
      <c r="B5" s="3">
        <v>100000</v>
      </c>
      <c r="C5" t="s">
        <v>7</v>
      </c>
    </row>
    <row r="6" spans="1:3" x14ac:dyDescent="0.3">
      <c r="A6" t="s">
        <v>3</v>
      </c>
      <c r="B6" s="2">
        <v>0.5</v>
      </c>
      <c r="C6" t="s">
        <v>8</v>
      </c>
    </row>
    <row r="7" spans="1:3" x14ac:dyDescent="0.3">
      <c r="A7" t="s">
        <v>4</v>
      </c>
      <c r="B7" s="2">
        <v>0.05</v>
      </c>
      <c r="C7" t="s">
        <v>9</v>
      </c>
    </row>
    <row r="8" spans="1:3" x14ac:dyDescent="0.3">
      <c r="A8" t="s">
        <v>5</v>
      </c>
      <c r="B8" s="2">
        <v>0.85</v>
      </c>
      <c r="C8" t="s">
        <v>8</v>
      </c>
    </row>
    <row r="10" spans="1:3" x14ac:dyDescent="0.3">
      <c r="A10" t="s">
        <v>10</v>
      </c>
      <c r="B10" s="4">
        <v>1200</v>
      </c>
      <c r="C10" t="s">
        <v>13</v>
      </c>
    </row>
    <row r="11" spans="1:3" x14ac:dyDescent="0.3">
      <c r="A11" t="s">
        <v>11</v>
      </c>
      <c r="B11" s="2">
        <v>0.06</v>
      </c>
      <c r="C11" t="s">
        <v>8</v>
      </c>
    </row>
    <row r="12" spans="1:3" x14ac:dyDescent="0.3">
      <c r="A12" t="s">
        <v>12</v>
      </c>
      <c r="B12">
        <v>500</v>
      </c>
      <c r="C12" t="s">
        <v>13</v>
      </c>
    </row>
    <row r="13" spans="1:3" x14ac:dyDescent="0.3">
      <c r="A13" t="s">
        <v>14</v>
      </c>
      <c r="B13">
        <v>250</v>
      </c>
      <c r="C13" t="s">
        <v>13</v>
      </c>
    </row>
    <row r="14" spans="1:3" x14ac:dyDescent="0.3">
      <c r="A14" t="s">
        <v>15</v>
      </c>
      <c r="B14" s="2">
        <v>0.05</v>
      </c>
      <c r="C14" t="s">
        <v>8</v>
      </c>
    </row>
    <row r="15" spans="1:3" x14ac:dyDescent="0.3">
      <c r="A15" t="s">
        <v>16</v>
      </c>
      <c r="B15" s="2">
        <v>7.0000000000000007E-2</v>
      </c>
      <c r="C15" t="s">
        <v>8</v>
      </c>
    </row>
    <row r="17" spans="1:3" x14ac:dyDescent="0.3">
      <c r="A17" s="1" t="s">
        <v>17</v>
      </c>
    </row>
    <row r="18" spans="1:3" x14ac:dyDescent="0.3">
      <c r="A18" t="s">
        <v>18</v>
      </c>
      <c r="B18" s="4">
        <v>2000000</v>
      </c>
      <c r="C18" t="s">
        <v>13</v>
      </c>
    </row>
    <row r="19" spans="1:3" x14ac:dyDescent="0.3">
      <c r="A19" t="s">
        <v>11</v>
      </c>
      <c r="B19" s="2">
        <v>0.05</v>
      </c>
      <c r="C19" t="s">
        <v>19</v>
      </c>
    </row>
    <row r="20" spans="1:3" x14ac:dyDescent="0.3">
      <c r="A20" t="s">
        <v>20</v>
      </c>
      <c r="B20" s="2">
        <v>0.08</v>
      </c>
      <c r="C20" t="s">
        <v>8</v>
      </c>
    </row>
    <row r="22" spans="1:3" x14ac:dyDescent="0.3">
      <c r="A22" s="1" t="s">
        <v>21</v>
      </c>
    </row>
    <row r="23" spans="1:3" x14ac:dyDescent="0.3">
      <c r="A23" t="s">
        <v>22</v>
      </c>
      <c r="B23" s="4">
        <v>2500000</v>
      </c>
      <c r="C23" t="s">
        <v>13</v>
      </c>
    </row>
    <row r="24" spans="1:3" x14ac:dyDescent="0.3">
      <c r="A24" t="s">
        <v>23</v>
      </c>
      <c r="B24" s="2">
        <v>0.15</v>
      </c>
      <c r="C24" t="s">
        <v>8</v>
      </c>
    </row>
    <row r="25" spans="1:3" x14ac:dyDescent="0.3">
      <c r="A25" t="s">
        <v>24</v>
      </c>
      <c r="B25" s="4">
        <v>1000000</v>
      </c>
      <c r="C25" t="s">
        <v>13</v>
      </c>
    </row>
    <row r="27" spans="1:3" x14ac:dyDescent="0.3">
      <c r="A27" s="1" t="s">
        <v>25</v>
      </c>
    </row>
    <row r="28" spans="1:3" x14ac:dyDescent="0.3">
      <c r="A28" t="s">
        <v>26</v>
      </c>
      <c r="B28" s="3">
        <v>2000000</v>
      </c>
      <c r="C28" t="s">
        <v>13</v>
      </c>
    </row>
    <row r="29" spans="1:3" x14ac:dyDescent="0.3">
      <c r="A29" t="s">
        <v>27</v>
      </c>
      <c r="B29" s="2">
        <v>0.12</v>
      </c>
      <c r="C29" t="s">
        <v>8</v>
      </c>
    </row>
    <row r="30" spans="1:3" x14ac:dyDescent="0.3">
      <c r="A30" t="s">
        <v>28</v>
      </c>
      <c r="B30">
        <v>5</v>
      </c>
      <c r="C30" t="s">
        <v>29</v>
      </c>
    </row>
    <row r="32" spans="1:3" x14ac:dyDescent="0.3">
      <c r="A32" s="1" t="s">
        <v>30</v>
      </c>
    </row>
    <row r="33" spans="1:3" x14ac:dyDescent="0.3">
      <c r="A33" t="s">
        <v>31</v>
      </c>
      <c r="B33">
        <v>45</v>
      </c>
      <c r="C33" t="s">
        <v>36</v>
      </c>
    </row>
    <row r="34" spans="1:3" x14ac:dyDescent="0.3">
      <c r="A34" t="s">
        <v>32</v>
      </c>
      <c r="B34">
        <v>2</v>
      </c>
      <c r="C34" t="s">
        <v>36</v>
      </c>
    </row>
    <row r="35" spans="1:3" x14ac:dyDescent="0.3">
      <c r="A35" t="s">
        <v>33</v>
      </c>
      <c r="B35">
        <v>60</v>
      </c>
      <c r="C35" t="s">
        <v>36</v>
      </c>
    </row>
    <row r="36" spans="1:3" x14ac:dyDescent="0.3">
      <c r="A36" t="s">
        <v>34</v>
      </c>
      <c r="B36">
        <v>2</v>
      </c>
      <c r="C36" t="s">
        <v>36</v>
      </c>
    </row>
    <row r="37" spans="1:3" x14ac:dyDescent="0.3">
      <c r="A37" t="s">
        <v>35</v>
      </c>
      <c r="B37">
        <v>50</v>
      </c>
      <c r="C37" t="s">
        <v>36</v>
      </c>
    </row>
    <row r="39" spans="1:3" x14ac:dyDescent="0.3">
      <c r="A39" s="1" t="s">
        <v>37</v>
      </c>
      <c r="B39" s="5">
        <v>0.3</v>
      </c>
      <c r="C39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2A7E-84A2-4E62-BDF5-B7BDC00FB96D}">
  <dimension ref="A1:H38"/>
  <sheetViews>
    <sheetView showGridLines="0" zoomScale="130" zoomScaleNormal="130" workbookViewId="0">
      <selection activeCell="D27" sqref="D27"/>
    </sheetView>
  </sheetViews>
  <sheetFormatPr defaultRowHeight="14.4" x14ac:dyDescent="0.3"/>
  <cols>
    <col min="1" max="1" width="35.6640625" customWidth="1"/>
    <col min="2" max="2" width="10.88671875" customWidth="1"/>
    <col min="4" max="4" width="12.5546875" customWidth="1"/>
    <col min="5" max="5" width="12.44140625" customWidth="1"/>
    <col min="6" max="6" width="12.5546875" customWidth="1"/>
    <col min="7" max="8" width="12.88671875" bestFit="1" customWidth="1"/>
  </cols>
  <sheetData>
    <row r="1" spans="1:8" x14ac:dyDescent="0.3">
      <c r="A1" s="7" t="s">
        <v>38</v>
      </c>
      <c r="B1" s="7"/>
      <c r="C1" s="7" t="s">
        <v>46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spans="1:8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4" spans="1:8" x14ac:dyDescent="0.3">
      <c r="A4" t="s">
        <v>47</v>
      </c>
      <c r="B4" t="s">
        <v>48</v>
      </c>
      <c r="D4" s="9">
        <f>Input!$B$5</f>
        <v>100000</v>
      </c>
      <c r="E4" s="9">
        <f>Input!$B$5</f>
        <v>100000</v>
      </c>
      <c r="F4" s="9">
        <f>Input!$B$5</f>
        <v>100000</v>
      </c>
      <c r="G4" s="9">
        <f>Input!$B$5</f>
        <v>100000</v>
      </c>
      <c r="H4" s="9">
        <f>Input!$B$5</f>
        <v>100000</v>
      </c>
    </row>
    <row r="5" spans="1:8" x14ac:dyDescent="0.3">
      <c r="A5" t="s">
        <v>49</v>
      </c>
      <c r="B5" t="s">
        <v>50</v>
      </c>
      <c r="D5" s="2">
        <f>MAX(Input!$B$6,Revenue!C5+Input!$B$7)</f>
        <v>0.5</v>
      </c>
      <c r="E5" s="2">
        <f>MAX(Input!$B$6,Revenue!D5+Input!$B$7)</f>
        <v>0.55000000000000004</v>
      </c>
      <c r="F5" s="2">
        <f>MAX(Input!$B$6,Revenue!E5+Input!$B$7)</f>
        <v>0.60000000000000009</v>
      </c>
      <c r="G5" s="2">
        <f>MAX(Input!$B$6,Revenue!F5+Input!$B$7)</f>
        <v>0.65000000000000013</v>
      </c>
      <c r="H5" s="2">
        <f>MAX(Input!$B$6,Revenue!G5+Input!$B$7)</f>
        <v>0.70000000000000018</v>
      </c>
    </row>
    <row r="6" spans="1:8" x14ac:dyDescent="0.3">
      <c r="A6" s="1" t="s">
        <v>51</v>
      </c>
      <c r="B6" t="s">
        <v>48</v>
      </c>
      <c r="D6" s="10">
        <f>D4*D5</f>
        <v>50000</v>
      </c>
      <c r="E6" s="10">
        <f t="shared" ref="E6:H6" si="1">E4*E5</f>
        <v>55000.000000000007</v>
      </c>
      <c r="F6" s="10">
        <f t="shared" si="1"/>
        <v>60000.000000000007</v>
      </c>
      <c r="G6" s="10">
        <f t="shared" si="1"/>
        <v>65000.000000000015</v>
      </c>
      <c r="H6" s="10">
        <f t="shared" si="1"/>
        <v>70000.000000000015</v>
      </c>
    </row>
    <row r="8" spans="1:8" x14ac:dyDescent="0.3">
      <c r="A8" t="s">
        <v>52</v>
      </c>
      <c r="B8" t="s">
        <v>50</v>
      </c>
      <c r="D8" s="2">
        <f>Input!$B$8</f>
        <v>0.85</v>
      </c>
      <c r="E8" s="2">
        <f>Input!$B$8</f>
        <v>0.85</v>
      </c>
      <c r="F8" s="2">
        <f>Input!$B$8</f>
        <v>0.85</v>
      </c>
      <c r="G8" s="2">
        <f>Input!$B$8</f>
        <v>0.85</v>
      </c>
      <c r="H8" s="2">
        <f>Input!$B$8</f>
        <v>0.85</v>
      </c>
    </row>
    <row r="10" spans="1:8" x14ac:dyDescent="0.3">
      <c r="A10" s="1" t="s">
        <v>53</v>
      </c>
      <c r="B10" s="1" t="s">
        <v>48</v>
      </c>
    </row>
    <row r="11" spans="1:8" x14ac:dyDescent="0.3">
      <c r="A11" t="s">
        <v>54</v>
      </c>
      <c r="B11" t="s">
        <v>48</v>
      </c>
      <c r="D11">
        <v>0</v>
      </c>
      <c r="E11" s="3">
        <f>D15</f>
        <v>7500</v>
      </c>
      <c r="F11" s="3">
        <f t="shared" ref="F11:H11" si="2">E15</f>
        <v>9375</v>
      </c>
      <c r="G11" s="3">
        <f t="shared" si="2"/>
        <v>10406.25</v>
      </c>
      <c r="H11" s="3">
        <f t="shared" si="2"/>
        <v>11310.937500000007</v>
      </c>
    </row>
    <row r="12" spans="1:8" x14ac:dyDescent="0.3">
      <c r="A12" t="s">
        <v>55</v>
      </c>
      <c r="B12" t="s">
        <v>48</v>
      </c>
      <c r="D12" s="3">
        <f>D6</f>
        <v>50000</v>
      </c>
      <c r="E12" s="3">
        <f t="shared" ref="E12:H12" si="3">E6</f>
        <v>55000.000000000007</v>
      </c>
      <c r="F12" s="3">
        <f t="shared" si="3"/>
        <v>60000.000000000007</v>
      </c>
      <c r="G12" s="3">
        <f t="shared" si="3"/>
        <v>65000.000000000015</v>
      </c>
      <c r="H12" s="3">
        <f t="shared" si="3"/>
        <v>70000.000000000015</v>
      </c>
    </row>
    <row r="13" spans="1:8" x14ac:dyDescent="0.3">
      <c r="A13" s="1" t="s">
        <v>56</v>
      </c>
      <c r="B13" s="1" t="s">
        <v>48</v>
      </c>
      <c r="D13" s="3">
        <f>SUM(D11:D12)</f>
        <v>50000</v>
      </c>
      <c r="E13" s="3">
        <f t="shared" ref="E13:H13" si="4">SUM(E11:E12)</f>
        <v>62500.000000000007</v>
      </c>
      <c r="F13" s="3">
        <f t="shared" si="4"/>
        <v>69375</v>
      </c>
      <c r="G13" s="3">
        <f t="shared" si="4"/>
        <v>75406.250000000015</v>
      </c>
      <c r="H13" s="3">
        <f t="shared" si="4"/>
        <v>81310.937500000029</v>
      </c>
    </row>
    <row r="14" spans="1:8" x14ac:dyDescent="0.3">
      <c r="A14" t="s">
        <v>57</v>
      </c>
      <c r="B14" t="s">
        <v>48</v>
      </c>
      <c r="D14" s="3">
        <f>D13*D8</f>
        <v>42500</v>
      </c>
      <c r="E14" s="3">
        <f>E13*E8</f>
        <v>53125.000000000007</v>
      </c>
      <c r="F14" s="3">
        <f t="shared" ref="F14:H14" si="5">F13*F8</f>
        <v>58968.75</v>
      </c>
      <c r="G14" s="3">
        <f t="shared" si="5"/>
        <v>64095.312500000007</v>
      </c>
      <c r="H14" s="3">
        <f t="shared" si="5"/>
        <v>69114.296875000029</v>
      </c>
    </row>
    <row r="15" spans="1:8" x14ac:dyDescent="0.3">
      <c r="A15" s="1" t="s">
        <v>58</v>
      </c>
      <c r="B15" s="1" t="s">
        <v>48</v>
      </c>
      <c r="D15" s="3">
        <f>D13-D14</f>
        <v>7500</v>
      </c>
      <c r="E15" s="3">
        <f>E13-E14</f>
        <v>9375</v>
      </c>
      <c r="F15" s="3">
        <f t="shared" ref="F15:G15" si="6">F13-F14</f>
        <v>10406.25</v>
      </c>
      <c r="G15" s="3">
        <f t="shared" si="6"/>
        <v>11310.937500000007</v>
      </c>
      <c r="H15" s="3">
        <f>H13-H14</f>
        <v>12196.640625</v>
      </c>
    </row>
    <row r="17" spans="1:8" x14ac:dyDescent="0.3">
      <c r="A17" t="s">
        <v>59</v>
      </c>
      <c r="B17" t="s">
        <v>60</v>
      </c>
      <c r="D17" s="9">
        <f>MAX(Input!$B$10,Revenue!C17*(1+Input!$B$11))</f>
        <v>1200</v>
      </c>
      <c r="E17" s="9">
        <f>MAX(Input!$B$10,Revenue!D17*(1+Input!$B$11))</f>
        <v>1272</v>
      </c>
      <c r="F17" s="9">
        <f>MAX(Input!$B$10,Revenue!E17*(1+Input!$B$11))</f>
        <v>1348.3200000000002</v>
      </c>
      <c r="G17" s="9">
        <f>MAX(Input!$B$10,Revenue!F17*(1+Input!$B$11))</f>
        <v>1429.2192000000002</v>
      </c>
      <c r="H17" s="9">
        <f>MAX(Input!$B$10,Revenue!G17*(1+Input!$B$11))</f>
        <v>1514.9723520000002</v>
      </c>
    </row>
    <row r="18" spans="1:8" x14ac:dyDescent="0.3">
      <c r="A18" s="1" t="s">
        <v>61</v>
      </c>
      <c r="B18" s="1" t="s">
        <v>13</v>
      </c>
      <c r="C18" s="1"/>
      <c r="D18" s="11">
        <f>D17*D14</f>
        <v>51000000</v>
      </c>
      <c r="E18" s="11">
        <f t="shared" ref="E18:H18" si="7">E17*E14</f>
        <v>67575000.000000015</v>
      </c>
      <c r="F18" s="11">
        <f t="shared" si="7"/>
        <v>79508745.000000015</v>
      </c>
      <c r="G18" s="11">
        <f t="shared" si="7"/>
        <v>91606251.255000025</v>
      </c>
      <c r="H18" s="11">
        <f t="shared" si="7"/>
        <v>104706248.89354506</v>
      </c>
    </row>
    <row r="19" spans="1:8" x14ac:dyDescent="0.3">
      <c r="D19" s="3"/>
      <c r="E19" s="3"/>
      <c r="F19" s="3"/>
      <c r="G19" s="3"/>
      <c r="H19" s="3"/>
    </row>
    <row r="20" spans="1:8" x14ac:dyDescent="0.3">
      <c r="A20" s="1" t="s">
        <v>62</v>
      </c>
      <c r="D20" s="3"/>
      <c r="E20" s="3"/>
      <c r="F20" s="3"/>
      <c r="G20" s="3"/>
      <c r="H20" s="3"/>
    </row>
    <row r="21" spans="1:8" x14ac:dyDescent="0.3">
      <c r="A21" s="27" t="s">
        <v>63</v>
      </c>
      <c r="D21" s="3"/>
      <c r="E21" s="3"/>
      <c r="F21" s="3"/>
      <c r="G21" s="3"/>
      <c r="H21" s="3"/>
    </row>
    <row r="22" spans="1:8" x14ac:dyDescent="0.3">
      <c r="A22" t="s">
        <v>64</v>
      </c>
      <c r="B22" t="s">
        <v>13</v>
      </c>
      <c r="D22" s="3">
        <f>MAX(C22*(1+Input!$B$14),Input!$B$12)</f>
        <v>500</v>
      </c>
      <c r="E22" s="3">
        <f>MAX(D22*(1+Input!$B$14),Input!$B$12)</f>
        <v>525</v>
      </c>
      <c r="F22" s="3">
        <f>MAX(E22*(1+Input!$B$14),Input!$B$12)</f>
        <v>551.25</v>
      </c>
      <c r="G22" s="3">
        <f>MAX(F22*(1+Input!$B$14),Input!$B$12)</f>
        <v>578.8125</v>
      </c>
      <c r="H22" s="3">
        <f>MAX(G22*(1+Input!$B$14),Input!$B$12)</f>
        <v>607.75312500000007</v>
      </c>
    </row>
    <row r="23" spans="1:8" x14ac:dyDescent="0.3">
      <c r="A23" t="s">
        <v>65</v>
      </c>
      <c r="B23" t="s">
        <v>13</v>
      </c>
      <c r="D23" s="3">
        <f>MAX(C23*(1+Input!$B$15),Input!$B$13)</f>
        <v>250</v>
      </c>
      <c r="E23" s="3">
        <f>MAX(D23*(1+Input!$B$15),Input!$B$13)</f>
        <v>267.5</v>
      </c>
      <c r="F23" s="3">
        <f>MAX(E23*(1+Input!$B$15),Input!$B$13)</f>
        <v>286.22500000000002</v>
      </c>
      <c r="G23" s="3">
        <f>MAX(F23*(1+Input!$B$15),Input!$B$13)</f>
        <v>306.26075000000003</v>
      </c>
      <c r="H23" s="3">
        <f>MAX(G23*(1+Input!$B$15),Input!$B$13)</f>
        <v>327.69900250000006</v>
      </c>
    </row>
    <row r="24" spans="1:8" x14ac:dyDescent="0.3">
      <c r="D24" s="3"/>
      <c r="E24" s="3"/>
      <c r="F24" s="3"/>
      <c r="G24" s="3"/>
      <c r="H24" s="3"/>
    </row>
    <row r="25" spans="1:8" x14ac:dyDescent="0.3">
      <c r="A25" t="s">
        <v>54</v>
      </c>
      <c r="B25" t="s">
        <v>13</v>
      </c>
      <c r="D25" s="4">
        <f>C27</f>
        <v>0</v>
      </c>
      <c r="E25" s="4">
        <f t="shared" ref="E25:H25" si="8">D27</f>
        <v>-5625000</v>
      </c>
      <c r="F25" s="4">
        <f t="shared" si="8"/>
        <v>-7429687.5</v>
      </c>
      <c r="G25" s="4">
        <f t="shared" si="8"/>
        <v>-8714974.21875</v>
      </c>
      <c r="H25" s="4">
        <f t="shared" si="8"/>
        <v>-10011008.213671882</v>
      </c>
    </row>
    <row r="26" spans="1:8" x14ac:dyDescent="0.3">
      <c r="A26" t="s">
        <v>66</v>
      </c>
      <c r="B26" t="s">
        <v>13</v>
      </c>
      <c r="D26" s="3">
        <f>SUM(D22:D23)*D6</f>
        <v>37500000</v>
      </c>
      <c r="E26" s="3">
        <f t="shared" ref="E26:H26" si="9">SUM(E22:E23)*E6</f>
        <v>43587500.000000007</v>
      </c>
      <c r="F26" s="3">
        <f t="shared" si="9"/>
        <v>50248500.000000007</v>
      </c>
      <c r="G26" s="3">
        <f t="shared" si="9"/>
        <v>57529761.250000015</v>
      </c>
      <c r="H26" s="3">
        <f t="shared" si="9"/>
        <v>65481648.925000027</v>
      </c>
    </row>
    <row r="27" spans="1:8" x14ac:dyDescent="0.3">
      <c r="A27" t="s">
        <v>67</v>
      </c>
      <c r="B27" t="s">
        <v>13</v>
      </c>
      <c r="D27" s="4">
        <f>-SUM(D22:D23)*D15</f>
        <v>-5625000</v>
      </c>
      <c r="E27" s="4">
        <f t="shared" ref="E27:H27" si="10">-SUM(E22:E23)*E15</f>
        <v>-7429687.5</v>
      </c>
      <c r="F27" s="4">
        <f t="shared" si="10"/>
        <v>-8714974.21875</v>
      </c>
      <c r="G27" s="4">
        <f t="shared" si="10"/>
        <v>-10011008.213671882</v>
      </c>
      <c r="H27" s="4">
        <f t="shared" si="10"/>
        <v>-11409373.421009181</v>
      </c>
    </row>
    <row r="28" spans="1:8" x14ac:dyDescent="0.3">
      <c r="A28" s="12" t="s">
        <v>68</v>
      </c>
      <c r="B28" s="12"/>
      <c r="C28" s="12"/>
      <c r="D28" s="13">
        <f>SUM(D25:D27)</f>
        <v>31875000</v>
      </c>
      <c r="E28" s="13">
        <f>SUM(E25:E27)</f>
        <v>30532812.500000007</v>
      </c>
      <c r="F28" s="13">
        <f>SUM(F25:F27)</f>
        <v>34103838.281250007</v>
      </c>
      <c r="G28" s="13">
        <f>SUM(G25:G27)</f>
        <v>38803778.817578137</v>
      </c>
      <c r="H28" s="13">
        <f t="shared" ref="H28" si="11">SUM(H25:H27)</f>
        <v>44061267.290318966</v>
      </c>
    </row>
    <row r="29" spans="1:8" x14ac:dyDescent="0.3">
      <c r="D29" s="3"/>
      <c r="E29" s="3"/>
      <c r="F29" s="3"/>
      <c r="G29" s="3"/>
      <c r="H29" s="3"/>
    </row>
    <row r="30" spans="1:8" x14ac:dyDescent="0.3">
      <c r="D30" s="3"/>
      <c r="E30" s="3"/>
      <c r="F30" s="3"/>
      <c r="G30" s="3"/>
      <c r="H30" s="3"/>
    </row>
    <row r="31" spans="1:8" x14ac:dyDescent="0.3">
      <c r="D31" s="3"/>
      <c r="E31" s="3"/>
      <c r="F31" s="3"/>
      <c r="G31" s="3"/>
      <c r="H31" s="3"/>
    </row>
    <row r="32" spans="1:8" x14ac:dyDescent="0.3">
      <c r="D32" s="3"/>
      <c r="E32" s="3"/>
      <c r="F32" s="3"/>
      <c r="G32" s="3"/>
      <c r="H32" s="3"/>
    </row>
    <row r="33" spans="4:8" x14ac:dyDescent="0.3">
      <c r="D33" s="3"/>
      <c r="E33" s="3"/>
      <c r="F33" s="3"/>
      <c r="G33" s="3"/>
      <c r="H33" s="3"/>
    </row>
    <row r="34" spans="4:8" x14ac:dyDescent="0.3">
      <c r="D34" s="3"/>
      <c r="E34" s="3"/>
      <c r="F34" s="3"/>
      <c r="G34" s="3"/>
      <c r="H34" s="3"/>
    </row>
    <row r="35" spans="4:8" x14ac:dyDescent="0.3">
      <c r="D35" s="3"/>
      <c r="E35" s="3"/>
      <c r="F35" s="3"/>
      <c r="G35" s="3"/>
      <c r="H35" s="3"/>
    </row>
    <row r="36" spans="4:8" x14ac:dyDescent="0.3">
      <c r="D36" s="3"/>
      <c r="E36" s="3"/>
      <c r="F36" s="3"/>
      <c r="G36" s="3"/>
      <c r="H36" s="3"/>
    </row>
    <row r="37" spans="4:8" x14ac:dyDescent="0.3">
      <c r="D37" s="3"/>
      <c r="E37" s="3"/>
      <c r="F37" s="3"/>
      <c r="G37" s="3"/>
      <c r="H37" s="3"/>
    </row>
    <row r="38" spans="4:8" x14ac:dyDescent="0.3">
      <c r="D38" s="3"/>
      <c r="E38" s="3"/>
      <c r="F38" s="3"/>
      <c r="G38" s="3"/>
      <c r="H38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20AC-7619-43E9-BE6C-CBFBFF61BFD9}">
  <dimension ref="A1:H22"/>
  <sheetViews>
    <sheetView showGridLines="0" zoomScale="145" zoomScaleNormal="145" workbookViewId="0">
      <selection activeCell="D12" sqref="D12"/>
    </sheetView>
  </sheetViews>
  <sheetFormatPr defaultRowHeight="14.4" x14ac:dyDescent="0.3"/>
  <cols>
    <col min="1" max="1" width="25.6640625" customWidth="1"/>
    <col min="4" max="4" width="13.44140625" customWidth="1"/>
    <col min="5" max="5" width="12.88671875" customWidth="1"/>
    <col min="6" max="6" width="12.5546875" customWidth="1"/>
    <col min="7" max="7" width="13" customWidth="1"/>
    <col min="8" max="8" width="14.33203125" customWidth="1"/>
  </cols>
  <sheetData>
    <row r="1" spans="1:8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8" x14ac:dyDescent="0.3">
      <c r="A2" s="7" t="s">
        <v>39</v>
      </c>
      <c r="B2" s="7"/>
      <c r="C2" s="7"/>
      <c r="D2" s="20">
        <f>EOMONTH(Input!B2,11)</f>
        <v>45747</v>
      </c>
      <c r="E2" s="20">
        <f>EOMONTH(D2,12)</f>
        <v>46112</v>
      </c>
      <c r="F2" s="20">
        <f t="shared" ref="F2:H2" si="0">EOMONTH(E2,12)</f>
        <v>46477</v>
      </c>
      <c r="G2" s="20">
        <f t="shared" si="0"/>
        <v>46843</v>
      </c>
      <c r="H2" s="20">
        <f t="shared" si="0"/>
        <v>47208</v>
      </c>
    </row>
    <row r="3" spans="1:8" x14ac:dyDescent="0.3">
      <c r="A3" t="s">
        <v>61</v>
      </c>
      <c r="B3" t="s">
        <v>13</v>
      </c>
      <c r="C3" s="3"/>
      <c r="D3" s="3">
        <f>Revenue!D18</f>
        <v>51000000</v>
      </c>
      <c r="E3" s="3">
        <f>Revenue!E18</f>
        <v>67575000.000000015</v>
      </c>
      <c r="F3" s="3">
        <f>Revenue!F18</f>
        <v>79508745.000000015</v>
      </c>
      <c r="G3" s="3">
        <f>Revenue!G18</f>
        <v>91606251.255000025</v>
      </c>
      <c r="H3" s="3">
        <f>Revenue!H18</f>
        <v>104706248.89354506</v>
      </c>
    </row>
    <row r="4" spans="1:8" x14ac:dyDescent="0.3">
      <c r="A4" t="s">
        <v>69</v>
      </c>
      <c r="B4" t="s">
        <v>13</v>
      </c>
      <c r="C4" s="17"/>
      <c r="D4" s="17">
        <f>Revenue!D28</f>
        <v>31875000</v>
      </c>
      <c r="E4" s="17">
        <f>Revenue!E28</f>
        <v>30532812.500000007</v>
      </c>
      <c r="F4" s="17">
        <f>Revenue!F28</f>
        <v>34103838.281250007</v>
      </c>
      <c r="G4" s="17">
        <f>Revenue!G28</f>
        <v>38803778.817578137</v>
      </c>
      <c r="H4" s="17">
        <f>Revenue!H28</f>
        <v>44061267.290318966</v>
      </c>
    </row>
    <row r="5" spans="1:8" x14ac:dyDescent="0.3">
      <c r="A5" s="12" t="s">
        <v>70</v>
      </c>
      <c r="B5" s="14" t="s">
        <v>13</v>
      </c>
      <c r="C5" s="13"/>
      <c r="D5" s="13">
        <f>D3-D4</f>
        <v>19125000</v>
      </c>
      <c r="E5" s="13">
        <f t="shared" ref="E5:H5" si="1">E3-E4</f>
        <v>37042187.500000007</v>
      </c>
      <c r="F5" s="13">
        <f t="shared" si="1"/>
        <v>45404906.718750007</v>
      </c>
      <c r="G5" s="13">
        <f t="shared" si="1"/>
        <v>52802472.437421888</v>
      </c>
      <c r="H5" s="13">
        <f t="shared" si="1"/>
        <v>60644981.603226095</v>
      </c>
    </row>
    <row r="6" spans="1:8" x14ac:dyDescent="0.3">
      <c r="A6" t="s">
        <v>71</v>
      </c>
      <c r="B6" t="s">
        <v>13</v>
      </c>
      <c r="C6" s="3"/>
      <c r="D6" s="3"/>
      <c r="E6" s="3"/>
      <c r="F6" s="3"/>
      <c r="G6" s="3"/>
      <c r="H6" s="3"/>
    </row>
    <row r="7" spans="1:8" x14ac:dyDescent="0.3">
      <c r="A7" t="s">
        <v>72</v>
      </c>
      <c r="B7" t="s">
        <v>13</v>
      </c>
      <c r="C7" s="3"/>
      <c r="D7" s="3">
        <f>D3*Input!$B$20</f>
        <v>4080000</v>
      </c>
      <c r="E7" s="3">
        <f>E3*Input!$B$20</f>
        <v>5406000.0000000009</v>
      </c>
      <c r="F7" s="3">
        <f>F3*Input!$B$20</f>
        <v>6360699.6000000015</v>
      </c>
      <c r="G7" s="3">
        <f>G3*Input!$B$20</f>
        <v>7328500.1004000017</v>
      </c>
      <c r="H7" s="3">
        <f>H3*Input!$B$20</f>
        <v>8376499.9114836054</v>
      </c>
    </row>
    <row r="8" spans="1:8" x14ac:dyDescent="0.3">
      <c r="A8" t="s">
        <v>73</v>
      </c>
      <c r="B8" t="s">
        <v>13</v>
      </c>
      <c r="C8" s="3"/>
      <c r="D8" s="3">
        <f>MAX(Input!$B$18,'P&amp;L'!C8*(1+Input!$B$19))</f>
        <v>2000000</v>
      </c>
      <c r="E8" s="3">
        <f>MAX(Input!$B$18,'P&amp;L'!D8*(1+Input!$B$19))</f>
        <v>2100000</v>
      </c>
      <c r="F8" s="3">
        <f>MAX(Input!$B$18,'P&amp;L'!E8*(1+Input!$B$19))</f>
        <v>2205000</v>
      </c>
      <c r="G8" s="3">
        <f>MAX(Input!$B$18,'P&amp;L'!F8*(1+Input!$B$19))</f>
        <v>2315250</v>
      </c>
      <c r="H8" s="3">
        <f>MAX(Input!$B$18,'P&amp;L'!G8*(1+Input!$B$19))</f>
        <v>2431012.5</v>
      </c>
    </row>
    <row r="9" spans="1:8" x14ac:dyDescent="0.3">
      <c r="A9" s="14" t="s">
        <v>74</v>
      </c>
      <c r="B9" s="14" t="s">
        <v>13</v>
      </c>
      <c r="C9" s="18"/>
      <c r="D9" s="18">
        <f>SUM(D6:D8)</f>
        <v>6080000</v>
      </c>
      <c r="E9" s="18">
        <f t="shared" ref="E9:H9" si="2">SUM(E6:E8)</f>
        <v>7506000.0000000009</v>
      </c>
      <c r="F9" s="18">
        <f t="shared" si="2"/>
        <v>8565699.6000000015</v>
      </c>
      <c r="G9" s="18">
        <f t="shared" si="2"/>
        <v>9643750.1004000008</v>
      </c>
      <c r="H9" s="18">
        <f t="shared" si="2"/>
        <v>10807512.411483604</v>
      </c>
    </row>
    <row r="10" spans="1:8" x14ac:dyDescent="0.3">
      <c r="A10" s="1" t="s">
        <v>75</v>
      </c>
      <c r="B10" t="s">
        <v>13</v>
      </c>
      <c r="C10" s="11"/>
      <c r="D10" s="11">
        <f>D5-D9</f>
        <v>13045000</v>
      </c>
      <c r="E10" s="11">
        <f t="shared" ref="E10:H10" si="3">E5-E9</f>
        <v>29536187.500000007</v>
      </c>
      <c r="F10" s="11">
        <f t="shared" si="3"/>
        <v>36839207.118750006</v>
      </c>
      <c r="G10" s="11">
        <f t="shared" si="3"/>
        <v>43158722.337021887</v>
      </c>
      <c r="H10" s="11">
        <f t="shared" si="3"/>
        <v>49837469.191742495</v>
      </c>
    </row>
    <row r="11" spans="1:8" x14ac:dyDescent="0.3">
      <c r="A11" t="s">
        <v>76</v>
      </c>
      <c r="B11" t="s">
        <v>13</v>
      </c>
      <c r="C11" s="3"/>
      <c r="D11" s="3">
        <f>'Fixed assets'!D10</f>
        <v>375000</v>
      </c>
      <c r="E11" s="3">
        <f>'Fixed assets'!E10</f>
        <v>375000</v>
      </c>
      <c r="F11" s="3">
        <f>'Fixed assets'!F10</f>
        <v>525000</v>
      </c>
      <c r="G11" s="3">
        <f>'Fixed assets'!G10</f>
        <v>525000</v>
      </c>
      <c r="H11" s="3">
        <f>'Fixed assets'!H10</f>
        <v>525000</v>
      </c>
    </row>
    <row r="12" spans="1:8" x14ac:dyDescent="0.3">
      <c r="A12" s="1" t="s">
        <v>77</v>
      </c>
      <c r="B12" t="s">
        <v>13</v>
      </c>
      <c r="C12" s="11"/>
      <c r="D12" s="11">
        <f>D10-D11</f>
        <v>12670000</v>
      </c>
      <c r="E12" s="11">
        <f t="shared" ref="E12:H12" si="4">E10-E11</f>
        <v>29161187.500000007</v>
      </c>
      <c r="F12" s="11">
        <f t="shared" si="4"/>
        <v>36314207.118750006</v>
      </c>
      <c r="G12" s="11">
        <f t="shared" si="4"/>
        <v>42633722.337021887</v>
      </c>
      <c r="H12" s="11">
        <f t="shared" si="4"/>
        <v>49312469.191742495</v>
      </c>
    </row>
    <row r="13" spans="1:8" x14ac:dyDescent="0.3">
      <c r="A13" t="s">
        <v>78</v>
      </c>
      <c r="B13" t="s">
        <v>13</v>
      </c>
      <c r="C13" s="3"/>
      <c r="D13" s="3">
        <f>'Debt schedule'!D7</f>
        <v>240000</v>
      </c>
      <c r="E13" s="3">
        <f>'Debt schedule'!E7</f>
        <v>192000</v>
      </c>
      <c r="F13" s="3">
        <f>'Debt schedule'!F7</f>
        <v>144000</v>
      </c>
      <c r="G13" s="3">
        <f>'Debt schedule'!G7</f>
        <v>96000</v>
      </c>
      <c r="H13" s="3">
        <f>'Debt schedule'!H7</f>
        <v>48000</v>
      </c>
    </row>
    <row r="14" spans="1:8" x14ac:dyDescent="0.3">
      <c r="A14" s="1" t="s">
        <v>79</v>
      </c>
      <c r="B14" t="s">
        <v>13</v>
      </c>
      <c r="C14" s="11"/>
      <c r="D14" s="11">
        <f>D12-D13</f>
        <v>12430000</v>
      </c>
      <c r="E14" s="11">
        <f t="shared" ref="E14:H14" si="5">E12-E13</f>
        <v>28969187.500000007</v>
      </c>
      <c r="F14" s="11">
        <f t="shared" si="5"/>
        <v>36170207.118750006</v>
      </c>
      <c r="G14" s="11">
        <f t="shared" si="5"/>
        <v>42537722.337021887</v>
      </c>
      <c r="H14" s="11">
        <f t="shared" si="5"/>
        <v>49264469.191742495</v>
      </c>
    </row>
    <row r="15" spans="1:8" x14ac:dyDescent="0.3">
      <c r="A15" t="s">
        <v>80</v>
      </c>
      <c r="B15" t="s">
        <v>13</v>
      </c>
      <c r="C15" s="3"/>
      <c r="D15" s="3">
        <f>D14*Input!$B$39</f>
        <v>3729000</v>
      </c>
      <c r="E15" s="3">
        <f>E14*Input!$B$39</f>
        <v>8690756.2500000019</v>
      </c>
      <c r="F15" s="3">
        <f>F14*Input!$B$39</f>
        <v>10851062.135625001</v>
      </c>
      <c r="G15" s="3">
        <f>G14*Input!$B$39</f>
        <v>12761316.701106565</v>
      </c>
      <c r="H15" s="3">
        <f>H14*Input!$B$39</f>
        <v>14779340.757522749</v>
      </c>
    </row>
    <row r="16" spans="1:8" x14ac:dyDescent="0.3">
      <c r="A16" s="12" t="s">
        <v>131</v>
      </c>
      <c r="B16" s="14" t="s">
        <v>13</v>
      </c>
      <c r="C16" s="13"/>
      <c r="D16" s="13">
        <f>D14-D15</f>
        <v>8701000</v>
      </c>
      <c r="E16" s="13">
        <f t="shared" ref="E16:H16" si="6">E14-E15</f>
        <v>20278431.250000007</v>
      </c>
      <c r="F16" s="13">
        <f t="shared" si="6"/>
        <v>25319144.983125005</v>
      </c>
      <c r="G16" s="13">
        <f t="shared" si="6"/>
        <v>29776405.635915324</v>
      </c>
      <c r="H16" s="13">
        <f t="shared" si="6"/>
        <v>34485128.434219748</v>
      </c>
    </row>
    <row r="17" spans="1:8" ht="12.75" customHeight="1" x14ac:dyDescent="0.3">
      <c r="A17" s="16"/>
      <c r="B17" s="15"/>
      <c r="C17" s="19"/>
      <c r="D17" s="19"/>
      <c r="E17" s="19"/>
      <c r="F17" s="19"/>
      <c r="G17" s="19"/>
      <c r="H17" s="19"/>
    </row>
    <row r="18" spans="1:8" x14ac:dyDescent="0.3">
      <c r="C18" s="3"/>
      <c r="D18" s="3"/>
      <c r="E18" s="3"/>
      <c r="F18" s="3"/>
      <c r="G18" s="3"/>
      <c r="H18" s="3"/>
    </row>
    <row r="19" spans="1:8" x14ac:dyDescent="0.3">
      <c r="C19" s="3"/>
      <c r="D19" s="3"/>
      <c r="E19" s="3"/>
      <c r="F19" s="3"/>
      <c r="G19" s="3"/>
      <c r="H19" s="3"/>
    </row>
    <row r="20" spans="1:8" x14ac:dyDescent="0.3">
      <c r="D20" s="3"/>
      <c r="E20" s="3"/>
      <c r="F20" s="3"/>
      <c r="G20" s="3"/>
      <c r="H20" s="3"/>
    </row>
    <row r="21" spans="1:8" x14ac:dyDescent="0.3">
      <c r="D21" s="3"/>
      <c r="E21" s="3"/>
      <c r="F21" s="3"/>
      <c r="G21" s="3"/>
      <c r="H21" s="3"/>
    </row>
    <row r="22" spans="1:8" x14ac:dyDescent="0.3">
      <c r="D22" s="3"/>
      <c r="E22" s="3"/>
      <c r="F22" s="3"/>
      <c r="G22" s="3"/>
      <c r="H22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267A-95D1-41EA-8A18-FE49100B6DE8}">
  <dimension ref="A1:H27"/>
  <sheetViews>
    <sheetView showGridLines="0" zoomScale="145" zoomScaleNormal="145" workbookViewId="0">
      <selection activeCell="E4" sqref="E4"/>
    </sheetView>
  </sheetViews>
  <sheetFormatPr defaultRowHeight="14.4" x14ac:dyDescent="0.3"/>
  <cols>
    <col min="1" max="1" width="28.88671875" bestFit="1" customWidth="1"/>
    <col min="4" max="6" width="10.88671875" bestFit="1" customWidth="1"/>
    <col min="7" max="8" width="11.88671875" bestFit="1" customWidth="1"/>
  </cols>
  <sheetData>
    <row r="1" spans="1:8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8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3" spans="1:8" x14ac:dyDescent="0.3">
      <c r="A3" s="1" t="s">
        <v>22</v>
      </c>
    </row>
    <row r="4" spans="1:8" x14ac:dyDescent="0.3">
      <c r="A4" t="s">
        <v>81</v>
      </c>
      <c r="B4" t="s">
        <v>13</v>
      </c>
      <c r="D4" s="3">
        <f>C7</f>
        <v>0</v>
      </c>
      <c r="E4" s="3">
        <f>D7</f>
        <v>2500000</v>
      </c>
      <c r="F4" s="3">
        <f t="shared" ref="F4:H4" si="1">E7</f>
        <v>2500000</v>
      </c>
      <c r="G4" s="3">
        <f t="shared" si="1"/>
        <v>3500000</v>
      </c>
      <c r="H4" s="3">
        <f t="shared" si="1"/>
        <v>3500000</v>
      </c>
    </row>
    <row r="5" spans="1:8" x14ac:dyDescent="0.3">
      <c r="A5" t="s">
        <v>82</v>
      </c>
      <c r="B5" t="s">
        <v>13</v>
      </c>
      <c r="D5" s="3">
        <f>Input!$B$23</f>
        <v>2500000</v>
      </c>
      <c r="E5" s="3">
        <v>0</v>
      </c>
      <c r="F5" s="3">
        <f>Input!$B$25</f>
        <v>1000000</v>
      </c>
      <c r="G5" s="3">
        <v>0</v>
      </c>
      <c r="H5" s="3">
        <v>0</v>
      </c>
    </row>
    <row r="6" spans="1:8" x14ac:dyDescent="0.3">
      <c r="A6" t="s">
        <v>83</v>
      </c>
      <c r="B6" t="s">
        <v>13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3">
      <c r="A7" s="1" t="s">
        <v>84</v>
      </c>
      <c r="B7" s="1" t="s">
        <v>13</v>
      </c>
      <c r="C7" s="1"/>
      <c r="D7" s="11">
        <f>D4+D5-D6</f>
        <v>2500000</v>
      </c>
      <c r="E7" s="11">
        <f t="shared" ref="E7:H7" si="2">E4+E5-E6</f>
        <v>2500000</v>
      </c>
      <c r="F7" s="11">
        <f>F4+F5-F6</f>
        <v>3500000</v>
      </c>
      <c r="G7" s="11">
        <f t="shared" si="2"/>
        <v>3500000</v>
      </c>
      <c r="H7" s="11">
        <f t="shared" si="2"/>
        <v>3500000</v>
      </c>
    </row>
    <row r="8" spans="1:8" x14ac:dyDescent="0.3">
      <c r="A8" t="s">
        <v>97</v>
      </c>
      <c r="B8" t="s">
        <v>13</v>
      </c>
      <c r="D8" s="3">
        <f>D7*Input!$B$24</f>
        <v>375000</v>
      </c>
      <c r="E8" s="3">
        <f>E7*Input!$B$24+D8</f>
        <v>750000</v>
      </c>
      <c r="F8" s="3">
        <f>F7*Input!$B$24+E8</f>
        <v>1275000</v>
      </c>
      <c r="G8" s="3">
        <f>G7*Input!$B$24+F8</f>
        <v>1800000</v>
      </c>
      <c r="H8" s="3">
        <f>H7*Input!$B$24+G8</f>
        <v>2325000</v>
      </c>
    </row>
    <row r="9" spans="1:8" x14ac:dyDescent="0.3">
      <c r="A9" s="22" t="s">
        <v>98</v>
      </c>
      <c r="B9" s="22" t="s">
        <v>13</v>
      </c>
      <c r="C9" s="22"/>
      <c r="D9" s="23">
        <f>D7-D8</f>
        <v>2125000</v>
      </c>
      <c r="E9" s="23">
        <f>E7-E8</f>
        <v>1750000</v>
      </c>
      <c r="F9" s="23">
        <f t="shared" ref="F9:H9" si="3">F7-F8</f>
        <v>2225000</v>
      </c>
      <c r="G9" s="23">
        <f t="shared" si="3"/>
        <v>1700000</v>
      </c>
      <c r="H9" s="23">
        <f t="shared" si="3"/>
        <v>1175000</v>
      </c>
    </row>
    <row r="10" spans="1:8" x14ac:dyDescent="0.3">
      <c r="A10" t="s">
        <v>132</v>
      </c>
      <c r="B10" t="s">
        <v>13</v>
      </c>
      <c r="D10" s="3">
        <f>D8-C8</f>
        <v>375000</v>
      </c>
      <c r="E10" s="3">
        <f t="shared" ref="E10:H10" si="4">E8-D8</f>
        <v>375000</v>
      </c>
      <c r="F10" s="3">
        <f t="shared" si="4"/>
        <v>525000</v>
      </c>
      <c r="G10" s="3">
        <f t="shared" si="4"/>
        <v>525000</v>
      </c>
      <c r="H10" s="3">
        <f t="shared" si="4"/>
        <v>525000</v>
      </c>
    </row>
    <row r="11" spans="1:8" x14ac:dyDescent="0.3">
      <c r="D11" s="3"/>
      <c r="E11" s="3"/>
      <c r="F11" s="3"/>
      <c r="G11" s="3"/>
      <c r="H11" s="3"/>
    </row>
    <row r="12" spans="1:8" x14ac:dyDescent="0.3">
      <c r="D12" s="3"/>
      <c r="E12" s="3"/>
      <c r="F12" s="3"/>
      <c r="G12" s="3"/>
      <c r="H12" s="3"/>
    </row>
    <row r="13" spans="1:8" x14ac:dyDescent="0.3">
      <c r="D13" s="3"/>
      <c r="E13" s="3"/>
      <c r="F13" s="3"/>
      <c r="G13" s="3"/>
      <c r="H13" s="3"/>
    </row>
    <row r="14" spans="1:8" x14ac:dyDescent="0.3">
      <c r="D14" s="3"/>
      <c r="E14" s="3"/>
      <c r="F14" s="3"/>
      <c r="G14" s="3"/>
      <c r="H14" s="3"/>
    </row>
    <row r="15" spans="1:8" x14ac:dyDescent="0.3">
      <c r="D15" s="3"/>
      <c r="E15" s="3"/>
      <c r="F15" s="3"/>
      <c r="G15" s="3"/>
      <c r="H15" s="3"/>
    </row>
    <row r="16" spans="1:8" x14ac:dyDescent="0.3">
      <c r="D16" s="3"/>
      <c r="E16" s="3"/>
      <c r="F16" s="3"/>
      <c r="G16" s="3"/>
      <c r="H16" s="3"/>
    </row>
    <row r="17" spans="4:8" x14ac:dyDescent="0.3">
      <c r="D17" s="3"/>
      <c r="E17" s="3"/>
      <c r="F17" s="3"/>
      <c r="G17" s="3"/>
      <c r="H17" s="3"/>
    </row>
    <row r="18" spans="4:8" x14ac:dyDescent="0.3">
      <c r="D18" s="3"/>
      <c r="E18" s="3"/>
      <c r="F18" s="3"/>
      <c r="G18" s="3"/>
      <c r="H18" s="3"/>
    </row>
    <row r="19" spans="4:8" x14ac:dyDescent="0.3">
      <c r="D19" s="3"/>
      <c r="E19" s="3"/>
      <c r="F19" s="3"/>
      <c r="G19" s="3"/>
      <c r="H19" s="3"/>
    </row>
    <row r="20" spans="4:8" x14ac:dyDescent="0.3">
      <c r="D20" s="3"/>
      <c r="E20" s="3"/>
      <c r="F20" s="3"/>
      <c r="G20" s="3"/>
      <c r="H20" s="3"/>
    </row>
    <row r="21" spans="4:8" x14ac:dyDescent="0.3">
      <c r="D21" s="3"/>
      <c r="E21" s="3"/>
      <c r="F21" s="3"/>
      <c r="G21" s="3"/>
      <c r="H21" s="3"/>
    </row>
    <row r="22" spans="4:8" x14ac:dyDescent="0.3">
      <c r="D22" s="3"/>
      <c r="E22" s="3"/>
      <c r="F22" s="3"/>
      <c r="G22" s="3"/>
      <c r="H22" s="3"/>
    </row>
    <row r="23" spans="4:8" x14ac:dyDescent="0.3">
      <c r="D23" s="3"/>
      <c r="E23" s="3"/>
      <c r="F23" s="3"/>
      <c r="G23" s="3"/>
      <c r="H23" s="3"/>
    </row>
    <row r="24" spans="4:8" x14ac:dyDescent="0.3">
      <c r="D24" s="3"/>
      <c r="E24" s="3"/>
      <c r="F24" s="3"/>
      <c r="G24" s="3"/>
      <c r="H24" s="3"/>
    </row>
    <row r="25" spans="4:8" x14ac:dyDescent="0.3">
      <c r="D25" s="3"/>
      <c r="E25" s="3"/>
      <c r="F25" s="3"/>
      <c r="G25" s="3"/>
      <c r="H25" s="3"/>
    </row>
    <row r="26" spans="4:8" x14ac:dyDescent="0.3">
      <c r="D26" s="3"/>
      <c r="E26" s="3"/>
      <c r="F26" s="3"/>
      <c r="G26" s="3"/>
      <c r="H26" s="3"/>
    </row>
    <row r="27" spans="4:8" x14ac:dyDescent="0.3">
      <c r="D27" s="3"/>
      <c r="E27" s="3"/>
      <c r="F27" s="3"/>
      <c r="G27" s="3"/>
      <c r="H2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7119-F510-4B2A-BF36-DDC49F1CC85C}">
  <dimension ref="A1:H15"/>
  <sheetViews>
    <sheetView showGridLines="0" zoomScale="145" zoomScaleNormal="145" workbookViewId="0">
      <selection activeCell="D7" sqref="D7"/>
    </sheetView>
  </sheetViews>
  <sheetFormatPr defaultRowHeight="14.4" x14ac:dyDescent="0.3"/>
  <cols>
    <col min="1" max="1" width="26.44140625" customWidth="1"/>
    <col min="4" max="4" width="11.44140625" customWidth="1"/>
    <col min="5" max="5" width="11.33203125" customWidth="1"/>
    <col min="6" max="6" width="11.44140625" customWidth="1"/>
    <col min="7" max="7" width="10.5546875" customWidth="1"/>
    <col min="8" max="8" width="10.6640625" customWidth="1"/>
  </cols>
  <sheetData>
    <row r="1" spans="1:8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8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3" spans="1:8" x14ac:dyDescent="0.3">
      <c r="A3" t="s">
        <v>85</v>
      </c>
      <c r="D3" s="4">
        <f>Input!$B$28</f>
        <v>2000000</v>
      </c>
      <c r="E3" s="4">
        <f>D5</f>
        <v>1600000</v>
      </c>
      <c r="F3" s="4">
        <f t="shared" ref="F3:H3" si="1">E5</f>
        <v>1200000</v>
      </c>
      <c r="G3" s="4">
        <f t="shared" si="1"/>
        <v>800000</v>
      </c>
      <c r="H3" s="4">
        <f t="shared" si="1"/>
        <v>400000</v>
      </c>
    </row>
    <row r="4" spans="1:8" x14ac:dyDescent="0.3">
      <c r="A4" t="s">
        <v>87</v>
      </c>
      <c r="D4" s="4">
        <f>Input!$B$28/Input!$B$30</f>
        <v>400000</v>
      </c>
      <c r="E4" s="4">
        <f>Input!$B$28/Input!$B$30</f>
        <v>400000</v>
      </c>
      <c r="F4" s="4">
        <f>Input!$B$28/Input!$B$30</f>
        <v>400000</v>
      </c>
      <c r="G4" s="4">
        <f>Input!$B$28/Input!$B$30</f>
        <v>400000</v>
      </c>
      <c r="H4" s="4">
        <f>Input!$B$28/Input!$B$30</f>
        <v>400000</v>
      </c>
    </row>
    <row r="5" spans="1:8" x14ac:dyDescent="0.3">
      <c r="A5" s="22" t="s">
        <v>86</v>
      </c>
      <c r="B5" s="22"/>
      <c r="C5" s="22"/>
      <c r="D5" s="30">
        <f>D3-D4</f>
        <v>1600000</v>
      </c>
      <c r="E5" s="30">
        <f t="shared" ref="E5:H5" si="2">E3-E4</f>
        <v>1200000</v>
      </c>
      <c r="F5" s="30">
        <f t="shared" si="2"/>
        <v>800000</v>
      </c>
      <c r="G5" s="30">
        <f t="shared" si="2"/>
        <v>400000</v>
      </c>
      <c r="H5" s="30">
        <f t="shared" si="2"/>
        <v>0</v>
      </c>
    </row>
    <row r="6" spans="1:8" x14ac:dyDescent="0.3">
      <c r="D6" s="4"/>
      <c r="E6" s="4"/>
      <c r="F6" s="4"/>
      <c r="G6" s="4"/>
      <c r="H6" s="4"/>
    </row>
    <row r="7" spans="1:8" x14ac:dyDescent="0.3">
      <c r="A7" s="1" t="s">
        <v>130</v>
      </c>
      <c r="B7" s="1"/>
      <c r="C7" s="1"/>
      <c r="D7" s="28">
        <f>D3*Input!$B$29</f>
        <v>240000</v>
      </c>
      <c r="E7" s="28">
        <f>E3*Input!$B$29</f>
        <v>192000</v>
      </c>
      <c r="F7" s="28">
        <f>F3*Input!$B$29</f>
        <v>144000</v>
      </c>
      <c r="G7" s="28">
        <f>G3*Input!$B$29</f>
        <v>96000</v>
      </c>
      <c r="H7" s="28">
        <f>H3*Input!$B$29</f>
        <v>48000</v>
      </c>
    </row>
    <row r="8" spans="1:8" x14ac:dyDescent="0.3">
      <c r="D8" s="4"/>
      <c r="E8" s="4"/>
      <c r="F8" s="4"/>
      <c r="G8" s="4"/>
      <c r="H8" s="4"/>
    </row>
    <row r="9" spans="1:8" x14ac:dyDescent="0.3">
      <c r="D9" s="4"/>
      <c r="E9" s="4"/>
      <c r="F9" s="4"/>
      <c r="G9" s="4"/>
      <c r="H9" s="4"/>
    </row>
    <row r="10" spans="1:8" x14ac:dyDescent="0.3">
      <c r="D10" s="4"/>
      <c r="E10" s="4"/>
      <c r="F10" s="4"/>
      <c r="G10" s="4"/>
      <c r="H10" s="4"/>
    </row>
    <row r="11" spans="1:8" x14ac:dyDescent="0.3">
      <c r="D11" s="4"/>
      <c r="E11" s="4"/>
      <c r="F11" s="4"/>
      <c r="G11" s="4"/>
      <c r="H11" s="4"/>
    </row>
    <row r="12" spans="1:8" x14ac:dyDescent="0.3">
      <c r="D12" s="4"/>
      <c r="E12" s="4"/>
      <c r="F12" s="4"/>
      <c r="G12" s="4"/>
      <c r="H12" s="4"/>
    </row>
    <row r="13" spans="1:8" x14ac:dyDescent="0.3">
      <c r="D13" s="4"/>
      <c r="E13" s="4"/>
      <c r="F13" s="4"/>
      <c r="G13" s="4"/>
      <c r="H13" s="4"/>
    </row>
    <row r="14" spans="1:8" x14ac:dyDescent="0.3">
      <c r="D14" s="4"/>
      <c r="E14" s="4"/>
      <c r="F14" s="4"/>
      <c r="G14" s="4"/>
      <c r="H14" s="4"/>
    </row>
    <row r="15" spans="1:8" x14ac:dyDescent="0.3">
      <c r="D15" s="4"/>
      <c r="E15" s="4"/>
      <c r="F15" s="4"/>
      <c r="G15" s="4"/>
      <c r="H1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C538-35B3-42A4-BFE4-0F0B4EFD758D}">
  <dimension ref="A1:H18"/>
  <sheetViews>
    <sheetView showGridLines="0" zoomScale="145" zoomScaleNormal="145" workbookViewId="0">
      <selection activeCell="J12" sqref="J12"/>
    </sheetView>
  </sheetViews>
  <sheetFormatPr defaultRowHeight="14.4" x14ac:dyDescent="0.3"/>
  <cols>
    <col min="1" max="1" width="20.33203125" customWidth="1"/>
    <col min="4" max="6" width="11.33203125" bestFit="1" customWidth="1"/>
    <col min="7" max="8" width="12.44140625" bestFit="1" customWidth="1"/>
  </cols>
  <sheetData>
    <row r="1" spans="1:8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8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3" spans="1:8" x14ac:dyDescent="0.3">
      <c r="A3" s="1" t="s">
        <v>88</v>
      </c>
      <c r="B3" s="1"/>
      <c r="C3" s="1"/>
      <c r="D3" s="1"/>
      <c r="E3" s="1"/>
      <c r="F3" s="1"/>
      <c r="G3" s="1"/>
      <c r="H3" s="1"/>
    </row>
    <row r="4" spans="1:8" x14ac:dyDescent="0.3">
      <c r="A4" t="s">
        <v>89</v>
      </c>
      <c r="D4" s="3">
        <f>'P&amp;L'!D3/365*'Working capital'!D5</f>
        <v>6287671.2328767125</v>
      </c>
      <c r="E4" s="3">
        <f>'P&amp;L'!E3/365*'Working capital'!E5</f>
        <v>7960890.4109589057</v>
      </c>
      <c r="F4" s="3">
        <f>'P&amp;L'!F3/365*'Working capital'!F5</f>
        <v>8931119.3013698645</v>
      </c>
      <c r="G4" s="3">
        <f>'P&amp;L'!G3/365*'Working capital'!G5</f>
        <v>9788065.2025890443</v>
      </c>
      <c r="H4" s="3">
        <f>'P&amp;L'!H3/365*'Working capital'!H5</f>
        <v>10614058.107016897</v>
      </c>
    </row>
    <row r="5" spans="1:8" x14ac:dyDescent="0.3">
      <c r="A5" t="s">
        <v>90</v>
      </c>
      <c r="D5" s="24">
        <f>Input!$B$33</f>
        <v>45</v>
      </c>
      <c r="E5" s="24">
        <f>D5-2</f>
        <v>43</v>
      </c>
      <c r="F5" s="24">
        <f t="shared" ref="F5:H5" si="1">E5-2</f>
        <v>41</v>
      </c>
      <c r="G5" s="24">
        <f t="shared" si="1"/>
        <v>39</v>
      </c>
      <c r="H5" s="24">
        <f t="shared" si="1"/>
        <v>37</v>
      </c>
    </row>
    <row r="6" spans="1:8" x14ac:dyDescent="0.3">
      <c r="A6" t="s">
        <v>93</v>
      </c>
      <c r="D6" s="4">
        <f>Revenue!D15*(Revenue!D22+Revenue!D23)</f>
        <v>5625000</v>
      </c>
      <c r="E6" s="4">
        <f>Revenue!E15*(Revenue!E22+Revenue!E23)</f>
        <v>7429687.5</v>
      </c>
      <c r="F6" s="4">
        <f>Revenue!F15*(Revenue!F22+Revenue!F23)</f>
        <v>8714974.21875</v>
      </c>
      <c r="G6" s="4">
        <f>Revenue!G15*(Revenue!G22+Revenue!G23)</f>
        <v>10011008.213671882</v>
      </c>
      <c r="H6" s="4">
        <f>Revenue!H15*(Revenue!H22+Revenue!H23)</f>
        <v>11409373.421009181</v>
      </c>
    </row>
    <row r="7" spans="1:8" x14ac:dyDescent="0.3">
      <c r="A7" t="s">
        <v>35</v>
      </c>
      <c r="D7" s="3">
        <f>Input!$B$37</f>
        <v>50</v>
      </c>
      <c r="E7" s="3">
        <f>Input!$B$37</f>
        <v>50</v>
      </c>
      <c r="F7" s="3">
        <f>Input!$B$37</f>
        <v>50</v>
      </c>
      <c r="G7" s="3">
        <f>Input!$B$37</f>
        <v>50</v>
      </c>
      <c r="H7" s="3">
        <f>Input!$B$37</f>
        <v>50</v>
      </c>
    </row>
    <row r="8" spans="1:8" x14ac:dyDescent="0.3">
      <c r="D8" s="3"/>
      <c r="E8" s="3"/>
      <c r="F8" s="3"/>
      <c r="G8" s="3"/>
      <c r="H8" s="3"/>
    </row>
    <row r="9" spans="1:8" x14ac:dyDescent="0.3">
      <c r="A9" s="1" t="s">
        <v>91</v>
      </c>
      <c r="B9" s="1"/>
      <c r="C9" s="1"/>
      <c r="D9" s="11"/>
      <c r="E9" s="11"/>
      <c r="F9" s="11"/>
      <c r="G9" s="11"/>
      <c r="H9" s="11"/>
    </row>
    <row r="10" spans="1:8" x14ac:dyDescent="0.3">
      <c r="A10" t="s">
        <v>92</v>
      </c>
      <c r="D10" s="3">
        <f>'P&amp;L'!D4/365*'Working capital'!D11</f>
        <v>5239726.0273972601</v>
      </c>
      <c r="E10" s="3">
        <f>'P&amp;L'!E4/365*'Working capital'!E11</f>
        <v>5186395.5479452061</v>
      </c>
      <c r="F10" s="3">
        <f>'P&amp;L'!F4/365*'Working capital'!F11</f>
        <v>5979851.0958904121</v>
      </c>
      <c r="G10" s="3">
        <f>'P&amp;L'!G4/365*'Working capital'!G11</f>
        <v>7016573.7040004302</v>
      </c>
      <c r="H10" s="3">
        <f>'P&amp;L'!H4/365*'Working capital'!H11</f>
        <v>8208674.4540868215</v>
      </c>
    </row>
    <row r="11" spans="1:8" x14ac:dyDescent="0.3">
      <c r="A11" t="s">
        <v>33</v>
      </c>
      <c r="D11" s="3">
        <f>Input!$B$35</f>
        <v>60</v>
      </c>
      <c r="E11" s="3">
        <f>D11+2</f>
        <v>62</v>
      </c>
      <c r="F11" s="3">
        <f t="shared" ref="F11:H11" si="2">E11+2</f>
        <v>64</v>
      </c>
      <c r="G11" s="3">
        <f t="shared" si="2"/>
        <v>66</v>
      </c>
      <c r="H11" s="3">
        <f t="shared" si="2"/>
        <v>68</v>
      </c>
    </row>
    <row r="12" spans="1:8" x14ac:dyDescent="0.3">
      <c r="A12" s="22" t="s">
        <v>94</v>
      </c>
      <c r="B12" s="22"/>
      <c r="C12" s="22"/>
      <c r="D12" s="23">
        <f>D4+D6-D10</f>
        <v>6672945.2054794524</v>
      </c>
      <c r="E12" s="23">
        <f>E4+E6-E10</f>
        <v>10204182.3630137</v>
      </c>
      <c r="F12" s="23">
        <f>F4+F6-F10</f>
        <v>11666242.424229452</v>
      </c>
      <c r="G12" s="23">
        <f>G4+G6-G10</f>
        <v>12782499.712260498</v>
      </c>
      <c r="H12" s="23">
        <f>H4+H6-H10</f>
        <v>13814757.073939256</v>
      </c>
    </row>
    <row r="14" spans="1:8" x14ac:dyDescent="0.3">
      <c r="A14" t="s">
        <v>95</v>
      </c>
      <c r="D14" s="25">
        <v>0</v>
      </c>
      <c r="E14" s="25">
        <f>E12-D12</f>
        <v>3531237.1575342473</v>
      </c>
      <c r="F14" s="25">
        <f t="shared" ref="F14:H14" si="3">F12-E12</f>
        <v>1462060.0612157527</v>
      </c>
      <c r="G14" s="25">
        <f t="shared" si="3"/>
        <v>1116257.2880310453</v>
      </c>
      <c r="H14" s="25">
        <f t="shared" si="3"/>
        <v>1032257.3616787586</v>
      </c>
    </row>
    <row r="15" spans="1:8" x14ac:dyDescent="0.3">
      <c r="D15" s="3"/>
      <c r="E15" s="3"/>
      <c r="F15" s="3"/>
      <c r="G15" s="3"/>
      <c r="H15" s="3"/>
    </row>
    <row r="16" spans="1:8" x14ac:dyDescent="0.3">
      <c r="D16" s="3"/>
      <c r="E16" s="3"/>
      <c r="F16" s="3"/>
      <c r="G16" s="3"/>
      <c r="H16" s="3"/>
    </row>
    <row r="17" spans="4:8" x14ac:dyDescent="0.3">
      <c r="D17" s="3"/>
      <c r="E17" s="3"/>
      <c r="F17" s="3"/>
      <c r="G17" s="3"/>
      <c r="H17" s="3"/>
    </row>
    <row r="18" spans="4:8" x14ac:dyDescent="0.3">
      <c r="D18" s="3"/>
      <c r="E18" s="3"/>
      <c r="F18" s="3"/>
      <c r="G18" s="3"/>
      <c r="H1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16AD-E808-41F6-AB23-437D114E26C1}">
  <dimension ref="A1:M27"/>
  <sheetViews>
    <sheetView showGridLines="0" zoomScale="130" zoomScaleNormal="130" workbookViewId="0">
      <selection activeCell="H26" sqref="H26"/>
    </sheetView>
  </sheetViews>
  <sheetFormatPr defaultRowHeight="14.4" x14ac:dyDescent="0.3"/>
  <cols>
    <col min="1" max="1" width="19.6640625" customWidth="1"/>
    <col min="3" max="3" width="27.109375" customWidth="1"/>
    <col min="4" max="4" width="12" bestFit="1" customWidth="1"/>
    <col min="5" max="5" width="12.44140625" bestFit="1" customWidth="1"/>
    <col min="6" max="6" width="12.109375" customWidth="1"/>
    <col min="7" max="7" width="13.88671875" customWidth="1"/>
    <col min="8" max="8" width="16" customWidth="1"/>
  </cols>
  <sheetData>
    <row r="1" spans="1:13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13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3" spans="1:13" x14ac:dyDescent="0.3">
      <c r="A3" s="1" t="s">
        <v>124</v>
      </c>
    </row>
    <row r="4" spans="1:13" x14ac:dyDescent="0.3">
      <c r="A4" t="s">
        <v>96</v>
      </c>
      <c r="D4" s="3">
        <f>'P&amp;L'!D16</f>
        <v>8701000</v>
      </c>
      <c r="E4" s="3">
        <f>'P&amp;L'!E16</f>
        <v>20278431.250000007</v>
      </c>
      <c r="F4" s="3">
        <f>'P&amp;L'!F16</f>
        <v>25319144.983125005</v>
      </c>
      <c r="G4" s="3">
        <f>'P&amp;L'!G16</f>
        <v>29776405.635915324</v>
      </c>
      <c r="H4" s="3">
        <f>'P&amp;L'!H16</f>
        <v>34485128.434219748</v>
      </c>
    </row>
    <row r="5" spans="1:13" x14ac:dyDescent="0.3">
      <c r="A5" t="s">
        <v>99</v>
      </c>
      <c r="D5" s="3">
        <f>'Fixed assets'!D10</f>
        <v>375000</v>
      </c>
      <c r="E5" s="3">
        <f>'Fixed assets'!E10</f>
        <v>375000</v>
      </c>
      <c r="F5" s="3">
        <f>'Fixed assets'!F10</f>
        <v>525000</v>
      </c>
      <c r="G5" s="3">
        <f>'Fixed assets'!G10</f>
        <v>525000</v>
      </c>
      <c r="H5" s="3">
        <f>'Fixed assets'!H10</f>
        <v>525000</v>
      </c>
    </row>
    <row r="6" spans="1:13" x14ac:dyDescent="0.3">
      <c r="A6" t="s">
        <v>118</v>
      </c>
      <c r="D6" s="3">
        <f>'P&amp;L'!D13</f>
        <v>240000</v>
      </c>
      <c r="E6" s="3">
        <f>'P&amp;L'!E13</f>
        <v>192000</v>
      </c>
      <c r="F6" s="3">
        <f>'P&amp;L'!F13</f>
        <v>144000</v>
      </c>
      <c r="G6" s="3">
        <f>'P&amp;L'!G13</f>
        <v>96000</v>
      </c>
      <c r="H6" s="3">
        <f>'P&amp;L'!H13</f>
        <v>48000</v>
      </c>
    </row>
    <row r="7" spans="1:13" x14ac:dyDescent="0.3">
      <c r="A7" s="12" t="s">
        <v>119</v>
      </c>
      <c r="B7" s="12"/>
      <c r="C7" s="12"/>
      <c r="D7" s="13">
        <f>SUM(D4:D6)</f>
        <v>9316000</v>
      </c>
      <c r="E7" s="13">
        <f t="shared" ref="E7:H7" si="1">SUM(E4:E6)</f>
        <v>20845431.250000007</v>
      </c>
      <c r="F7" s="13">
        <f t="shared" si="1"/>
        <v>25988144.983125005</v>
      </c>
      <c r="G7" s="13">
        <f t="shared" si="1"/>
        <v>30397405.635915324</v>
      </c>
      <c r="H7" s="13">
        <f t="shared" si="1"/>
        <v>35058128.434219748</v>
      </c>
    </row>
    <row r="8" spans="1:13" x14ac:dyDescent="0.3">
      <c r="A8" t="s">
        <v>120</v>
      </c>
      <c r="D8" s="10">
        <f>-('Balance sheet'!D23)-'Balance sheet'!C23</f>
        <v>-6287671.2328767125</v>
      </c>
      <c r="E8" s="10">
        <f>-('Balance sheet'!E23)+('Balance sheet'!D23)</f>
        <v>-1673219.1780821932</v>
      </c>
      <c r="F8" s="10">
        <f>-('Balance sheet'!F23)+('Balance sheet'!E23)</f>
        <v>-970228.89041095879</v>
      </c>
      <c r="G8" s="10">
        <f>-('Balance sheet'!G23)+('Balance sheet'!F23)</f>
        <v>-856945.90121917985</v>
      </c>
      <c r="H8" s="10">
        <f>-('Balance sheet'!H23)+('Balance sheet'!G23)</f>
        <v>-825992.90442785248</v>
      </c>
    </row>
    <row r="9" spans="1:13" x14ac:dyDescent="0.3">
      <c r="A9" t="s">
        <v>122</v>
      </c>
      <c r="D9" s="4">
        <f>-('Balance sheet'!D24)</f>
        <v>-5625000</v>
      </c>
      <c r="E9" s="4">
        <f>-('Balance sheet'!E24)+('Balance sheet'!D24)</f>
        <v>-1804687.5</v>
      </c>
      <c r="F9" s="4">
        <f>-('Balance sheet'!F24)+('Balance sheet'!E24)</f>
        <v>-1285286.71875</v>
      </c>
      <c r="G9" s="4">
        <f>-('Balance sheet'!G24)+('Balance sheet'!F24)</f>
        <v>-1296033.9949218817</v>
      </c>
      <c r="H9" s="4">
        <f>-('Balance sheet'!H24)+('Balance sheet'!G24)</f>
        <v>-1398365.2073372994</v>
      </c>
    </row>
    <row r="10" spans="1:13" x14ac:dyDescent="0.3">
      <c r="A10" t="s">
        <v>121</v>
      </c>
      <c r="D10" s="4">
        <f>'Working capital'!D10-'Working capital'!C10</f>
        <v>5239726.0273972601</v>
      </c>
      <c r="E10" s="4">
        <f>'Working capital'!E10-'Working capital'!D10</f>
        <v>-53330.479452054016</v>
      </c>
      <c r="F10" s="4">
        <f>'Working capital'!F10-'Working capital'!E10</f>
        <v>793455.54794520605</v>
      </c>
      <c r="G10" s="4">
        <f>'Working capital'!G10-'Working capital'!F10</f>
        <v>1036722.6081100181</v>
      </c>
      <c r="H10" s="4">
        <f>'Working capital'!H10-'Working capital'!G10</f>
        <v>1192100.7500863913</v>
      </c>
    </row>
    <row r="11" spans="1:13" x14ac:dyDescent="0.3">
      <c r="A11" s="12" t="s">
        <v>123</v>
      </c>
      <c r="B11" s="12"/>
      <c r="C11" s="12"/>
      <c r="D11" s="13">
        <f>SUM(D7:D10)</f>
        <v>2643054.7945205476</v>
      </c>
      <c r="E11" s="13">
        <f>SUM(E7:E10)</f>
        <v>17314194.092465758</v>
      </c>
      <c r="F11" s="13">
        <f t="shared" ref="F11:H11" si="2">SUM(F7:F10)</f>
        <v>24526084.92190925</v>
      </c>
      <c r="G11" s="13">
        <f t="shared" si="2"/>
        <v>29281148.347884279</v>
      </c>
      <c r="H11" s="13">
        <f t="shared" si="2"/>
        <v>34025871.072540984</v>
      </c>
    </row>
    <row r="13" spans="1:13" x14ac:dyDescent="0.3">
      <c r="A13" s="1" t="s">
        <v>125</v>
      </c>
      <c r="L13" s="2"/>
      <c r="M13" s="3"/>
    </row>
    <row r="14" spans="1:13" x14ac:dyDescent="0.3">
      <c r="A14" t="s">
        <v>126</v>
      </c>
    </row>
    <row r="15" spans="1:13" x14ac:dyDescent="0.3">
      <c r="A15" t="s">
        <v>22</v>
      </c>
      <c r="D15" s="4">
        <f>-('Fixed assets'!D5)</f>
        <v>-2500000</v>
      </c>
      <c r="E15" s="4">
        <f>-('Fixed assets'!E5)</f>
        <v>0</v>
      </c>
      <c r="F15" s="4">
        <f>-('Fixed assets'!F5)</f>
        <v>-1000000</v>
      </c>
      <c r="G15" s="4">
        <f>-('Fixed assets'!G5)</f>
        <v>0</v>
      </c>
      <c r="H15" s="4">
        <f>-('Fixed assets'!H5)</f>
        <v>0</v>
      </c>
    </row>
    <row r="16" spans="1:13" x14ac:dyDescent="0.3">
      <c r="A16" s="12" t="s">
        <v>125</v>
      </c>
      <c r="B16" s="12"/>
      <c r="C16" s="12"/>
      <c r="D16" s="29">
        <f>SUM(D15)</f>
        <v>-2500000</v>
      </c>
      <c r="E16" s="29">
        <f t="shared" ref="E16:H16" si="3">SUM(E15)</f>
        <v>0</v>
      </c>
      <c r="F16" s="29">
        <f t="shared" si="3"/>
        <v>-1000000</v>
      </c>
      <c r="G16" s="29">
        <f t="shared" si="3"/>
        <v>0</v>
      </c>
      <c r="H16" s="29">
        <f t="shared" si="3"/>
        <v>0</v>
      </c>
    </row>
    <row r="18" spans="1:9" x14ac:dyDescent="0.3">
      <c r="A18" s="1" t="s">
        <v>129</v>
      </c>
    </row>
    <row r="19" spans="1:9" x14ac:dyDescent="0.3">
      <c r="A19" t="s">
        <v>104</v>
      </c>
      <c r="D19" s="4">
        <f>'Balance sheet'!D4-'Balance sheet'!C4</f>
        <v>500000</v>
      </c>
      <c r="E19" s="4">
        <f>'Balance sheet'!E4-'Balance sheet'!D4</f>
        <v>0</v>
      </c>
      <c r="F19" s="4">
        <f>'Balance sheet'!F4-'Balance sheet'!E4</f>
        <v>0</v>
      </c>
      <c r="G19" s="4">
        <f>'Balance sheet'!G4-'Balance sheet'!F4</f>
        <v>0</v>
      </c>
      <c r="H19" s="4">
        <f>'Balance sheet'!H4-'Balance sheet'!G4</f>
        <v>0</v>
      </c>
    </row>
    <row r="20" spans="1:9" x14ac:dyDescent="0.3">
      <c r="A20" t="s">
        <v>127</v>
      </c>
      <c r="D20" s="3">
        <f>'Debt schedule'!D3</f>
        <v>2000000</v>
      </c>
      <c r="E20" s="3">
        <v>0</v>
      </c>
      <c r="F20" s="3">
        <v>0</v>
      </c>
      <c r="G20" s="3">
        <v>0</v>
      </c>
      <c r="H20" s="3">
        <v>0</v>
      </c>
    </row>
    <row r="21" spans="1:9" x14ac:dyDescent="0.3">
      <c r="A21" t="s">
        <v>128</v>
      </c>
      <c r="D21" s="4">
        <f>-'Debt schedule'!D4</f>
        <v>-400000</v>
      </c>
      <c r="E21" s="4">
        <f>-'Debt schedule'!E4</f>
        <v>-400000</v>
      </c>
      <c r="F21" s="4">
        <f>-'Debt schedule'!F4</f>
        <v>-400000</v>
      </c>
      <c r="G21" s="4">
        <f>-'Debt schedule'!G4</f>
        <v>-400000</v>
      </c>
      <c r="H21" s="4">
        <f>-'Debt schedule'!H4</f>
        <v>-400000</v>
      </c>
    </row>
    <row r="22" spans="1:9" x14ac:dyDescent="0.3">
      <c r="D22" s="4"/>
      <c r="E22" s="4"/>
      <c r="F22" s="4"/>
      <c r="G22" s="4"/>
      <c r="H22" s="4"/>
    </row>
    <row r="23" spans="1:9" x14ac:dyDescent="0.3">
      <c r="A23" s="12" t="s">
        <v>129</v>
      </c>
      <c r="B23" s="12"/>
      <c r="C23" s="12"/>
      <c r="D23" s="29">
        <f>SUM(D19:D22)</f>
        <v>2100000</v>
      </c>
      <c r="E23" s="29">
        <f t="shared" ref="E23:H23" si="4">SUM(E19:E22)</f>
        <v>-400000</v>
      </c>
      <c r="F23" s="29">
        <f t="shared" si="4"/>
        <v>-400000</v>
      </c>
      <c r="G23" s="29">
        <f t="shared" si="4"/>
        <v>-400000</v>
      </c>
      <c r="H23" s="29">
        <f t="shared" si="4"/>
        <v>-400000</v>
      </c>
      <c r="I23" s="28"/>
    </row>
    <row r="25" spans="1:9" x14ac:dyDescent="0.3">
      <c r="A25" s="1" t="s">
        <v>133</v>
      </c>
      <c r="B25" s="1"/>
      <c r="C25" s="1"/>
      <c r="D25" s="11">
        <f>SUM(D11,D16,D23)</f>
        <v>2243054.7945205476</v>
      </c>
      <c r="E25" s="11">
        <f t="shared" ref="E25:H25" si="5">SUM(E11,E16,E23)</f>
        <v>16914194.092465758</v>
      </c>
      <c r="F25" s="11">
        <f t="shared" si="5"/>
        <v>23126084.92190925</v>
      </c>
      <c r="G25" s="11">
        <f t="shared" si="5"/>
        <v>28881148.347884279</v>
      </c>
      <c r="H25" s="11">
        <f t="shared" si="5"/>
        <v>33625871.072540984</v>
      </c>
    </row>
    <row r="26" spans="1:9" x14ac:dyDescent="0.3">
      <c r="A26" s="1" t="s">
        <v>111</v>
      </c>
      <c r="B26" s="1"/>
      <c r="C26" s="1"/>
      <c r="D26" s="11">
        <f>D25+C26</f>
        <v>2243054.7945205476</v>
      </c>
      <c r="E26" s="11">
        <f t="shared" ref="E26:H26" si="6">E25+D26</f>
        <v>19157248.886986308</v>
      </c>
      <c r="F26" s="11">
        <f t="shared" si="6"/>
        <v>42283333.808895558</v>
      </c>
      <c r="G26" s="11">
        <f t="shared" si="6"/>
        <v>71164482.156779841</v>
      </c>
      <c r="H26" s="11">
        <f t="shared" si="6"/>
        <v>104790353.22932082</v>
      </c>
    </row>
    <row r="27" spans="1:9" x14ac:dyDescent="0.3">
      <c r="A27" s="1"/>
      <c r="B27" s="1"/>
      <c r="C27" s="1"/>
      <c r="D27" s="11"/>
      <c r="E27" s="11"/>
      <c r="F27" s="11"/>
      <c r="G27" s="11"/>
      <c r="H27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051C-345E-45E4-B988-77D069E957FD}">
  <dimension ref="A1:H32"/>
  <sheetViews>
    <sheetView showGridLines="0" zoomScale="130" zoomScaleNormal="130" workbookViewId="0">
      <selection activeCell="J11" sqref="J11"/>
    </sheetView>
  </sheetViews>
  <sheetFormatPr defaultRowHeight="14.4" x14ac:dyDescent="0.3"/>
  <cols>
    <col min="1" max="1" width="23.6640625" customWidth="1"/>
    <col min="4" max="4" width="10.88671875" bestFit="1" customWidth="1"/>
    <col min="5" max="5" width="15" customWidth="1"/>
    <col min="6" max="6" width="14.33203125" customWidth="1"/>
    <col min="7" max="7" width="13.88671875" customWidth="1"/>
    <col min="8" max="8" width="16.33203125" customWidth="1"/>
  </cols>
  <sheetData>
    <row r="1" spans="1:8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8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3" spans="1:8" x14ac:dyDescent="0.3">
      <c r="A3" s="1" t="s">
        <v>104</v>
      </c>
      <c r="D3" s="4"/>
      <c r="E3" s="4"/>
      <c r="F3" s="4"/>
      <c r="G3" s="4"/>
      <c r="H3" s="4"/>
    </row>
    <row r="4" spans="1:8" x14ac:dyDescent="0.3">
      <c r="A4" t="s">
        <v>115</v>
      </c>
      <c r="D4" s="4">
        <f>Input!$B$23-Input!$B$18</f>
        <v>500000</v>
      </c>
      <c r="E4" s="4">
        <f>Input!$B$23-Input!$B$18</f>
        <v>500000</v>
      </c>
      <c r="F4" s="4">
        <f>Input!$B$23-Input!$B$18</f>
        <v>500000</v>
      </c>
      <c r="G4" s="4">
        <f>Input!$B$23-Input!$B$18</f>
        <v>500000</v>
      </c>
      <c r="H4" s="4">
        <f>Input!$B$23-Input!$B$18</f>
        <v>500000</v>
      </c>
    </row>
    <row r="5" spans="1:8" x14ac:dyDescent="0.3">
      <c r="A5" t="s">
        <v>116</v>
      </c>
      <c r="D5" s="4">
        <f>D27-D14-D4</f>
        <v>8941000</v>
      </c>
      <c r="E5" s="4">
        <f t="shared" ref="E5:H5" si="1">E27-E14-E4</f>
        <v>29411431.250000011</v>
      </c>
      <c r="F5" s="4">
        <f t="shared" si="1"/>
        <v>54874576.233125009</v>
      </c>
      <c r="G5" s="4">
        <f t="shared" si="1"/>
        <v>84746981.86904034</v>
      </c>
      <c r="H5" s="4">
        <f t="shared" si="1"/>
        <v>119280110.30326007</v>
      </c>
    </row>
    <row r="6" spans="1:8" x14ac:dyDescent="0.3">
      <c r="A6" s="1" t="s">
        <v>117</v>
      </c>
      <c r="B6" s="1"/>
      <c r="C6" s="1"/>
      <c r="D6" s="28">
        <f>SUM(D4:D5)</f>
        <v>9441000</v>
      </c>
      <c r="E6" s="28">
        <f t="shared" ref="E6:H6" si="2">SUM(E4:E5)</f>
        <v>29911431.250000011</v>
      </c>
      <c r="F6" s="28">
        <f t="shared" si="2"/>
        <v>55374576.233125009</v>
      </c>
      <c r="G6" s="28">
        <f t="shared" si="2"/>
        <v>85246981.86904034</v>
      </c>
      <c r="H6" s="28">
        <f t="shared" si="2"/>
        <v>119780110.30326007</v>
      </c>
    </row>
    <row r="8" spans="1:8" x14ac:dyDescent="0.3">
      <c r="A8" s="1" t="s">
        <v>100</v>
      </c>
      <c r="D8" s="3"/>
      <c r="E8" s="3"/>
      <c r="F8" s="3"/>
      <c r="G8" s="3"/>
      <c r="H8" s="3"/>
    </row>
    <row r="9" spans="1:8" x14ac:dyDescent="0.3">
      <c r="A9" s="26" t="s">
        <v>101</v>
      </c>
      <c r="D9" s="3"/>
      <c r="E9" s="3"/>
      <c r="F9" s="3"/>
      <c r="G9" s="3"/>
      <c r="H9" s="3"/>
    </row>
    <row r="10" spans="1:8" x14ac:dyDescent="0.3">
      <c r="A10" t="s">
        <v>102</v>
      </c>
      <c r="D10" s="3">
        <f>'Debt schedule'!D5</f>
        <v>1600000</v>
      </c>
      <c r="E10" s="3">
        <f>'Debt schedule'!E5</f>
        <v>1200000</v>
      </c>
      <c r="F10" s="3">
        <f>'Debt schedule'!F5</f>
        <v>800000</v>
      </c>
      <c r="G10" s="3">
        <f>'Debt schedule'!G5</f>
        <v>400000</v>
      </c>
      <c r="H10" s="3">
        <f>'Debt schedule'!H5</f>
        <v>0</v>
      </c>
    </row>
    <row r="11" spans="1:8" x14ac:dyDescent="0.3">
      <c r="D11" s="3"/>
      <c r="E11" s="3"/>
      <c r="F11" s="3"/>
      <c r="G11" s="3"/>
      <c r="H11" s="3"/>
    </row>
    <row r="12" spans="1:8" x14ac:dyDescent="0.3">
      <c r="A12" s="1" t="s">
        <v>103</v>
      </c>
      <c r="D12" s="3"/>
      <c r="E12" s="3"/>
      <c r="F12" s="3"/>
      <c r="G12" s="3"/>
      <c r="H12" s="3"/>
    </row>
    <row r="13" spans="1:8" x14ac:dyDescent="0.3">
      <c r="A13" t="s">
        <v>134</v>
      </c>
      <c r="D13" s="3">
        <f>'Working capital'!D10</f>
        <v>5239726.0273972601</v>
      </c>
      <c r="E13" s="3">
        <f>'Working capital'!E10</f>
        <v>5186395.5479452061</v>
      </c>
      <c r="F13" s="3">
        <f>'Working capital'!F10</f>
        <v>5979851.0958904121</v>
      </c>
      <c r="G13" s="3">
        <f>'Working capital'!G10</f>
        <v>7016573.7040004302</v>
      </c>
      <c r="H13" s="3">
        <f>'Working capital'!H10</f>
        <v>8208674.4540868215</v>
      </c>
    </row>
    <row r="14" spans="1:8" x14ac:dyDescent="0.3">
      <c r="A14" t="s">
        <v>105</v>
      </c>
      <c r="D14" s="3">
        <f>SUM(D13,D10)</f>
        <v>6839726.0273972601</v>
      </c>
      <c r="E14" s="3">
        <f t="shared" ref="E14:H14" si="3">SUM(E13,E10)</f>
        <v>6386395.5479452061</v>
      </c>
      <c r="F14" s="3">
        <f t="shared" si="3"/>
        <v>6779851.0958904121</v>
      </c>
      <c r="G14" s="3">
        <f t="shared" si="3"/>
        <v>7416573.7040004302</v>
      </c>
      <c r="H14" s="3">
        <f t="shared" si="3"/>
        <v>8208674.4540868215</v>
      </c>
    </row>
    <row r="15" spans="1:8" x14ac:dyDescent="0.3">
      <c r="A15" s="22" t="s">
        <v>114</v>
      </c>
      <c r="B15" s="22"/>
      <c r="C15" s="22"/>
      <c r="D15" s="23">
        <f>SUM(D13,D10,D6)</f>
        <v>16280726.02739726</v>
      </c>
      <c r="E15" s="23">
        <f t="shared" ref="E15:H15" si="4">SUM(E13,E10,E6)</f>
        <v>36297826.797945216</v>
      </c>
      <c r="F15" s="23">
        <f t="shared" si="4"/>
        <v>62154427.329015419</v>
      </c>
      <c r="G15" s="23">
        <f t="shared" si="4"/>
        <v>92663555.573040769</v>
      </c>
      <c r="H15" s="23">
        <f t="shared" si="4"/>
        <v>127988784.7573469</v>
      </c>
    </row>
    <row r="16" spans="1:8" x14ac:dyDescent="0.3">
      <c r="D16" s="3"/>
      <c r="E16" s="3"/>
      <c r="F16" s="3"/>
      <c r="G16" s="3"/>
      <c r="H16" s="3"/>
    </row>
    <row r="17" spans="1:8" x14ac:dyDescent="0.3">
      <c r="A17" s="1" t="s">
        <v>106</v>
      </c>
      <c r="D17" s="3"/>
      <c r="E17" s="3"/>
      <c r="F17" s="3"/>
      <c r="G17" s="3"/>
      <c r="H17" s="3"/>
    </row>
    <row r="18" spans="1:8" x14ac:dyDescent="0.3">
      <c r="A18" s="26" t="s">
        <v>107</v>
      </c>
      <c r="D18" s="3"/>
      <c r="E18" s="3"/>
      <c r="F18" s="3"/>
      <c r="G18" s="3"/>
      <c r="H18" s="3"/>
    </row>
    <row r="19" spans="1:8" x14ac:dyDescent="0.3">
      <c r="A19" s="27" t="s">
        <v>108</v>
      </c>
      <c r="D19" s="3"/>
      <c r="E19" s="3"/>
      <c r="F19" s="3"/>
      <c r="G19" s="3"/>
      <c r="H19" s="3"/>
    </row>
    <row r="20" spans="1:8" x14ac:dyDescent="0.3">
      <c r="A20" t="s">
        <v>109</v>
      </c>
      <c r="D20" s="3">
        <f>'Fixed assets'!D9</f>
        <v>2125000</v>
      </c>
      <c r="E20" s="3">
        <f>'Fixed assets'!E9</f>
        <v>1750000</v>
      </c>
      <c r="F20" s="3">
        <f>'Fixed assets'!F9</f>
        <v>2225000</v>
      </c>
      <c r="G20" s="3">
        <f>'Fixed assets'!G9</f>
        <v>1700000</v>
      </c>
      <c r="H20" s="3">
        <f>'Fixed assets'!H9</f>
        <v>1175000</v>
      </c>
    </row>
    <row r="21" spans="1:8" x14ac:dyDescent="0.3">
      <c r="D21" s="3"/>
      <c r="E21" s="3"/>
      <c r="F21" s="3"/>
      <c r="G21" s="3"/>
      <c r="H21" s="3"/>
    </row>
    <row r="22" spans="1:8" x14ac:dyDescent="0.3">
      <c r="A22" s="26" t="s">
        <v>110</v>
      </c>
      <c r="D22" s="3"/>
      <c r="E22" s="3"/>
      <c r="F22" s="3"/>
      <c r="G22" s="3"/>
      <c r="H22" s="3"/>
    </row>
    <row r="23" spans="1:8" x14ac:dyDescent="0.3">
      <c r="A23" t="s">
        <v>89</v>
      </c>
      <c r="D23" s="3">
        <f>'Working capital'!D4</f>
        <v>6287671.2328767125</v>
      </c>
      <c r="E23" s="3">
        <f>'Working capital'!E4</f>
        <v>7960890.4109589057</v>
      </c>
      <c r="F23" s="3">
        <f>'Working capital'!F4</f>
        <v>8931119.3013698645</v>
      </c>
      <c r="G23" s="3">
        <f>'Working capital'!G4</f>
        <v>9788065.2025890443</v>
      </c>
      <c r="H23" s="3">
        <f>'Working capital'!H4</f>
        <v>10614058.107016897</v>
      </c>
    </row>
    <row r="24" spans="1:8" x14ac:dyDescent="0.3">
      <c r="A24" t="s">
        <v>93</v>
      </c>
      <c r="D24" s="3">
        <f>'Working capital'!D6</f>
        <v>5625000</v>
      </c>
      <c r="E24" s="3">
        <f>'Working capital'!E6</f>
        <v>7429687.5</v>
      </c>
      <c r="F24" s="3">
        <f>'Working capital'!F6</f>
        <v>8714974.21875</v>
      </c>
      <c r="G24" s="3">
        <f>'Working capital'!G6</f>
        <v>10011008.213671882</v>
      </c>
      <c r="H24" s="3">
        <f>'Working capital'!H6</f>
        <v>11409373.421009181</v>
      </c>
    </row>
    <row r="25" spans="1:8" x14ac:dyDescent="0.3">
      <c r="A25" t="s">
        <v>111</v>
      </c>
      <c r="D25" s="3">
        <f>'Cashflow Statement'!D26</f>
        <v>2243054.7945205476</v>
      </c>
      <c r="E25" s="3">
        <f>'Cashflow Statement'!E26</f>
        <v>19157248.886986308</v>
      </c>
      <c r="F25" s="3">
        <f>'Cashflow Statement'!F26</f>
        <v>42283333.808895558</v>
      </c>
      <c r="G25" s="3">
        <f>'Cashflow Statement'!G26</f>
        <v>71164482.156779841</v>
      </c>
      <c r="H25" s="3">
        <f>'Cashflow Statement'!H26</f>
        <v>104790353.22932082</v>
      </c>
    </row>
    <row r="26" spans="1:8" x14ac:dyDescent="0.3">
      <c r="D26" s="3"/>
      <c r="E26" s="3"/>
      <c r="F26" s="3"/>
      <c r="G26" s="3"/>
      <c r="H26" s="3"/>
    </row>
    <row r="27" spans="1:8" x14ac:dyDescent="0.3">
      <c r="A27" s="22" t="s">
        <v>112</v>
      </c>
      <c r="B27" s="22"/>
      <c r="C27" s="22"/>
      <c r="D27" s="23">
        <f>SUM(D23:D25,D20)</f>
        <v>16280726.02739726</v>
      </c>
      <c r="E27" s="23">
        <f t="shared" ref="E27:H27" si="5">SUM(E23:E25,E20)</f>
        <v>36297826.797945216</v>
      </c>
      <c r="F27" s="23">
        <f t="shared" si="5"/>
        <v>62154427.329015419</v>
      </c>
      <c r="G27" s="23">
        <f t="shared" si="5"/>
        <v>92663555.573040769</v>
      </c>
      <c r="H27" s="23">
        <f t="shared" si="5"/>
        <v>127988784.7573469</v>
      </c>
    </row>
    <row r="28" spans="1:8" x14ac:dyDescent="0.3">
      <c r="A28" t="s">
        <v>113</v>
      </c>
      <c r="D28" s="3">
        <f>D27-D15</f>
        <v>0</v>
      </c>
      <c r="E28" s="3">
        <f t="shared" ref="E28:H28" si="6">E27-E15</f>
        <v>0</v>
      </c>
      <c r="F28" s="3">
        <f t="shared" si="6"/>
        <v>0</v>
      </c>
      <c r="G28" s="3">
        <f t="shared" si="6"/>
        <v>0</v>
      </c>
      <c r="H28" s="3">
        <f t="shared" si="6"/>
        <v>0</v>
      </c>
    </row>
    <row r="29" spans="1:8" x14ac:dyDescent="0.3">
      <c r="D29" s="3"/>
      <c r="E29" s="3"/>
      <c r="F29" s="3"/>
      <c r="G29" s="3"/>
      <c r="H29" s="3"/>
    </row>
    <row r="30" spans="1:8" x14ac:dyDescent="0.3">
      <c r="D30" s="3"/>
      <c r="E30" s="3"/>
      <c r="F30" s="3"/>
      <c r="G30" s="3"/>
      <c r="H30" s="3"/>
    </row>
    <row r="31" spans="1:8" x14ac:dyDescent="0.3">
      <c r="D31" s="3"/>
      <c r="E31" s="3"/>
      <c r="F31" s="3"/>
      <c r="G31" s="3"/>
      <c r="H31" s="3"/>
    </row>
    <row r="32" spans="1:8" x14ac:dyDescent="0.3">
      <c r="D32" s="3"/>
      <c r="E32" s="3"/>
      <c r="F32" s="3"/>
      <c r="G32" s="3"/>
      <c r="H3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9B7E-FA82-4BB7-9951-77F22D18EC37}">
  <dimension ref="A1"/>
  <sheetViews>
    <sheetView showGridLines="0" workbookViewId="0">
      <selection activeCell="C6" sqref="C6"/>
    </sheetView>
  </sheetViews>
  <sheetFormatPr defaultRowHeight="14.4" x14ac:dyDescent="0.3"/>
  <cols>
    <col min="1" max="1" width="35.4414062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B79B-5273-42E1-B49D-3D436C669E17}">
  <dimension ref="A1:H22"/>
  <sheetViews>
    <sheetView showGridLines="0" tabSelected="1" zoomScale="175" zoomScaleNormal="175" workbookViewId="0">
      <selection activeCell="D14" sqref="D14"/>
    </sheetView>
  </sheetViews>
  <sheetFormatPr defaultRowHeight="14.4" x14ac:dyDescent="0.3"/>
  <cols>
    <col min="1" max="1" width="37.33203125" customWidth="1"/>
    <col min="4" max="4" width="11.88671875" customWidth="1"/>
    <col min="5" max="7" width="11.6640625" bestFit="1" customWidth="1"/>
    <col min="8" max="8" width="12.109375" customWidth="1"/>
  </cols>
  <sheetData>
    <row r="1" spans="1:8" x14ac:dyDescent="0.3">
      <c r="A1" s="7" t="s">
        <v>38</v>
      </c>
      <c r="B1" s="7"/>
      <c r="C1" s="7"/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</row>
    <row r="2" spans="1:8" x14ac:dyDescent="0.3">
      <c r="A2" s="7" t="s">
        <v>39</v>
      </c>
      <c r="B2" s="7"/>
      <c r="C2" s="7"/>
      <c r="D2" s="8">
        <f>EOMONTH(Input!B2,11)</f>
        <v>45747</v>
      </c>
      <c r="E2" s="8">
        <f>EOMONTH(D2,12)</f>
        <v>46112</v>
      </c>
      <c r="F2" s="8">
        <f t="shared" ref="F2:H2" si="0">EOMONTH(E2,12)</f>
        <v>46477</v>
      </c>
      <c r="G2" s="8">
        <f t="shared" si="0"/>
        <v>46843</v>
      </c>
      <c r="H2" s="8">
        <f t="shared" si="0"/>
        <v>47208</v>
      </c>
    </row>
    <row r="3" spans="1:8" x14ac:dyDescent="0.3">
      <c r="A3" s="1" t="s">
        <v>135</v>
      </c>
    </row>
    <row r="4" spans="1:8" x14ac:dyDescent="0.3">
      <c r="A4" t="s">
        <v>77</v>
      </c>
      <c r="B4" t="s">
        <v>136</v>
      </c>
      <c r="D4" s="4">
        <f>'P&amp;L'!D12</f>
        <v>12670000</v>
      </c>
      <c r="E4" s="4">
        <f>'P&amp;L'!E12</f>
        <v>29161187.500000007</v>
      </c>
      <c r="F4" s="4">
        <f>'P&amp;L'!F12</f>
        <v>36314207.118750006</v>
      </c>
      <c r="G4" s="4">
        <f>'P&amp;L'!G12</f>
        <v>42633722.337021887</v>
      </c>
      <c r="H4" s="4">
        <f>'P&amp;L'!H12</f>
        <v>49312469.191742495</v>
      </c>
    </row>
    <row r="5" spans="1:8" x14ac:dyDescent="0.3">
      <c r="A5" t="s">
        <v>140</v>
      </c>
      <c r="B5" t="s">
        <v>136</v>
      </c>
      <c r="D5" s="4">
        <f>D4*Input!$B$39</f>
        <v>3801000</v>
      </c>
      <c r="E5" s="4">
        <f>E4*Input!$B$39</f>
        <v>8748356.2500000019</v>
      </c>
      <c r="F5" s="4">
        <f>F4*Input!$B$39</f>
        <v>10894262.135625001</v>
      </c>
      <c r="G5" s="4">
        <f>G4*Input!$B$39</f>
        <v>12790116.701106565</v>
      </c>
      <c r="H5" s="4">
        <f>H4*Input!$B$39</f>
        <v>14793740.757522749</v>
      </c>
    </row>
    <row r="6" spans="1:8" x14ac:dyDescent="0.3">
      <c r="A6" s="12" t="s">
        <v>141</v>
      </c>
      <c r="B6" s="12" t="s">
        <v>136</v>
      </c>
      <c r="C6" s="12"/>
      <c r="D6" s="29">
        <f>D4-D5</f>
        <v>8869000</v>
      </c>
      <c r="E6" s="29">
        <f t="shared" ref="E6:H6" si="1">E4-E5</f>
        <v>20412831.250000007</v>
      </c>
      <c r="F6" s="29">
        <f t="shared" si="1"/>
        <v>25419944.983125005</v>
      </c>
      <c r="G6" s="29">
        <f t="shared" si="1"/>
        <v>29843605.635915324</v>
      </c>
      <c r="H6" s="29">
        <f t="shared" si="1"/>
        <v>34518728.434219748</v>
      </c>
    </row>
    <row r="7" spans="1:8" x14ac:dyDescent="0.3">
      <c r="A7" t="s">
        <v>137</v>
      </c>
      <c r="B7" t="s">
        <v>136</v>
      </c>
      <c r="D7" s="4">
        <f>'P&amp;L'!D11</f>
        <v>375000</v>
      </c>
      <c r="E7" s="4">
        <f>'P&amp;L'!E11</f>
        <v>375000</v>
      </c>
      <c r="F7" s="4">
        <f>'P&amp;L'!F11</f>
        <v>525000</v>
      </c>
      <c r="G7" s="4">
        <f>'P&amp;L'!G11</f>
        <v>525000</v>
      </c>
      <c r="H7" s="4">
        <f>'P&amp;L'!H11</f>
        <v>525000</v>
      </c>
    </row>
    <row r="8" spans="1:8" x14ac:dyDescent="0.3">
      <c r="A8" t="s">
        <v>138</v>
      </c>
      <c r="B8" t="s">
        <v>136</v>
      </c>
      <c r="D8" s="4">
        <f>'Cashflow Statement'!D15</f>
        <v>-2500000</v>
      </c>
      <c r="E8" s="4">
        <f>'Cashflow Statement'!E15</f>
        <v>0</v>
      </c>
      <c r="F8" s="4">
        <f>'Cashflow Statement'!F15</f>
        <v>-1000000</v>
      </c>
      <c r="G8" s="4">
        <f>'Cashflow Statement'!G15</f>
        <v>0</v>
      </c>
      <c r="H8" s="4">
        <f>'Cashflow Statement'!H15</f>
        <v>0</v>
      </c>
    </row>
    <row r="9" spans="1:8" x14ac:dyDescent="0.3">
      <c r="A9" t="s">
        <v>139</v>
      </c>
      <c r="B9" t="s">
        <v>136</v>
      </c>
      <c r="D9" s="4">
        <f>SUM('Cashflow Statement'!D8:D10)</f>
        <v>-6672945.2054794524</v>
      </c>
      <c r="E9" s="4">
        <f>SUM('Cashflow Statement'!E8:E10)</f>
        <v>-3531237.1575342473</v>
      </c>
      <c r="F9" s="4">
        <f>SUM('Cashflow Statement'!F8:F10)</f>
        <v>-1462060.0612157527</v>
      </c>
      <c r="G9" s="4">
        <f>SUM('Cashflow Statement'!G8:G10)</f>
        <v>-1116257.2880310435</v>
      </c>
      <c r="H9" s="4">
        <f>SUM('Cashflow Statement'!H8:H10)</f>
        <v>-1032257.3616787605</v>
      </c>
    </row>
    <row r="10" spans="1:8" x14ac:dyDescent="0.3">
      <c r="A10" s="12" t="s">
        <v>145</v>
      </c>
      <c r="B10" s="12" t="s">
        <v>136</v>
      </c>
      <c r="C10" s="12"/>
      <c r="D10" s="29">
        <f>SUM(D6:D9)</f>
        <v>71054.794520547614</v>
      </c>
      <c r="E10" s="29">
        <f t="shared" ref="E10:H10" si="2">SUM(E6:E9)</f>
        <v>17256594.092465758</v>
      </c>
      <c r="F10" s="29">
        <f t="shared" si="2"/>
        <v>23482884.92190925</v>
      </c>
      <c r="G10" s="29">
        <f t="shared" si="2"/>
        <v>29252348.347884282</v>
      </c>
      <c r="H10" s="29">
        <f t="shared" si="2"/>
        <v>34011471.072540984</v>
      </c>
    </row>
    <row r="11" spans="1:8" x14ac:dyDescent="0.3">
      <c r="A11" t="s">
        <v>142</v>
      </c>
      <c r="B11" t="s">
        <v>136</v>
      </c>
      <c r="D11" s="4">
        <f>-'P&amp;L'!D13*(1-Input!$B$39)</f>
        <v>-168000</v>
      </c>
      <c r="E11" s="4">
        <f>-'P&amp;L'!E13*(1-Input!$B$39)</f>
        <v>-134400</v>
      </c>
      <c r="F11" s="4">
        <f>-'P&amp;L'!F13*(1-Input!$B$39)</f>
        <v>-100800</v>
      </c>
      <c r="G11" s="4">
        <f>-'P&amp;L'!G13*(1-Input!$B$39)</f>
        <v>-67200</v>
      </c>
      <c r="H11" s="4">
        <f>-'P&amp;L'!H13*(1-Input!$B$39)</f>
        <v>-33600</v>
      </c>
    </row>
    <row r="12" spans="1:8" x14ac:dyDescent="0.3">
      <c r="A12" t="s">
        <v>143</v>
      </c>
      <c r="B12" t="s">
        <v>136</v>
      </c>
      <c r="D12" s="4">
        <f>SUM('Cashflow Statement'!D20:D21)</f>
        <v>1600000</v>
      </c>
      <c r="E12" s="4">
        <f>SUM('Cashflow Statement'!E20:E21)</f>
        <v>-400000</v>
      </c>
      <c r="F12" s="4">
        <f>SUM('Cashflow Statement'!F20:F21)</f>
        <v>-400000</v>
      </c>
      <c r="G12" s="4">
        <f>SUM('Cashflow Statement'!G20:G21)</f>
        <v>-400000</v>
      </c>
      <c r="H12" s="4">
        <f>SUM('Cashflow Statement'!H20:H21)</f>
        <v>-400000</v>
      </c>
    </row>
    <row r="13" spans="1:8" x14ac:dyDescent="0.3">
      <c r="A13" s="12" t="s">
        <v>144</v>
      </c>
      <c r="B13" s="12" t="s">
        <v>136</v>
      </c>
      <c r="C13" s="12"/>
      <c r="D13" s="29">
        <f>SUM(D10:D12)</f>
        <v>1503054.7945205476</v>
      </c>
      <c r="E13" s="29">
        <f>SUM(E10:E12)</f>
        <v>16722194.092465758</v>
      </c>
      <c r="F13" s="29">
        <f t="shared" ref="F13:H13" si="3">SUM(F10:F12)</f>
        <v>22982084.92190925</v>
      </c>
      <c r="G13" s="29">
        <f t="shared" si="3"/>
        <v>28785148.347884282</v>
      </c>
      <c r="H13" s="29">
        <f t="shared" si="3"/>
        <v>33577871.072540984</v>
      </c>
    </row>
    <row r="14" spans="1:8" x14ac:dyDescent="0.3">
      <c r="D14" s="4"/>
      <c r="E14" s="4"/>
      <c r="F14" s="4"/>
      <c r="G14" s="4"/>
      <c r="H14" s="4"/>
    </row>
    <row r="15" spans="1:8" x14ac:dyDescent="0.3">
      <c r="D15" s="4"/>
      <c r="E15" s="4"/>
      <c r="F15" s="4"/>
      <c r="G15" s="4"/>
      <c r="H15" s="4"/>
    </row>
    <row r="16" spans="1:8" x14ac:dyDescent="0.3">
      <c r="D16" s="4"/>
      <c r="E16" s="4"/>
      <c r="F16" s="4"/>
      <c r="G16" s="4"/>
      <c r="H16" s="4"/>
    </row>
    <row r="17" spans="4:8" x14ac:dyDescent="0.3">
      <c r="D17" s="4"/>
      <c r="E17" s="4"/>
      <c r="F17" s="4"/>
      <c r="G17" s="4"/>
      <c r="H17" s="4"/>
    </row>
    <row r="18" spans="4:8" x14ac:dyDescent="0.3">
      <c r="D18" s="4"/>
      <c r="E18" s="4"/>
      <c r="F18" s="4"/>
      <c r="G18" s="4"/>
      <c r="H18" s="4"/>
    </row>
    <row r="19" spans="4:8" x14ac:dyDescent="0.3">
      <c r="D19" s="4"/>
      <c r="E19" s="4"/>
      <c r="F19" s="4"/>
      <c r="G19" s="4"/>
      <c r="H19" s="4"/>
    </row>
    <row r="20" spans="4:8" x14ac:dyDescent="0.3">
      <c r="D20" s="4"/>
      <c r="E20" s="4"/>
      <c r="F20" s="4"/>
      <c r="G20" s="4"/>
      <c r="H20" s="4"/>
    </row>
    <row r="21" spans="4:8" x14ac:dyDescent="0.3">
      <c r="D21" s="4"/>
      <c r="E21" s="4"/>
      <c r="F21" s="4"/>
      <c r="G21" s="4"/>
      <c r="H21" s="4"/>
    </row>
    <row r="22" spans="4:8" x14ac:dyDescent="0.3">
      <c r="D22" s="4"/>
      <c r="E22" s="4"/>
      <c r="F22" s="4"/>
      <c r="G22" s="4"/>
      <c r="H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Revenue</vt:lpstr>
      <vt:lpstr>P&amp;L</vt:lpstr>
      <vt:lpstr>Fixed assets</vt:lpstr>
      <vt:lpstr>Debt schedule</vt:lpstr>
      <vt:lpstr>Working capital</vt:lpstr>
      <vt:lpstr>Cashflow Statement</vt:lpstr>
      <vt:lpstr>Balance sheet</vt:lpstr>
      <vt:lpstr>Sheet1</vt:lpstr>
      <vt:lpstr>Free 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2026-04-06T10:32:05Z</dcterms:created>
  <dcterms:modified xsi:type="dcterms:W3CDTF">2026-04-12T10:34:40Z</dcterms:modified>
</cp:coreProperties>
</file>